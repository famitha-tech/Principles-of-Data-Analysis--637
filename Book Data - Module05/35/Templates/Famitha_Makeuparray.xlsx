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user/Downloads/Book Data - Module05/35/Templates/"/>
    </mc:Choice>
  </mc:AlternateContent>
  <xr:revisionPtr revIDLastSave="0" documentId="8_{460F6B6E-A7C0-D443-B586-D05DE7AB8001}" xr6:coauthVersionLast="47" xr6:coauthVersionMax="47" xr10:uidLastSave="{00000000-0000-0000-0000-000000000000}"/>
  <bookViews>
    <workbookView xWindow="12600" yWindow="1660" windowWidth="12540" windowHeight="13680" xr2:uid="{00000000-000D-0000-FFFF-FFFF00000000}"/>
  </bookViews>
  <sheets>
    <sheet name="data" sheetId="2" r:id="rId1"/>
  </sheets>
  <definedNames>
    <definedName name="data">data!$J$4:$N$1904</definedName>
    <definedName name="Date">data!$K$5:$K$1904</definedName>
    <definedName name="Dollars">data!$N$5:$N$1904</definedName>
    <definedName name="Name">data!$J$5:$J$1904</definedName>
    <definedName name="Product">data!$L$5:$L$1904</definedName>
    <definedName name="Trans_Number">data!$I$5:$I$1904</definedName>
    <definedName name="Units">data!$M$5:$M$1904</definedName>
  </definedNames>
  <calcPr calcId="191029" calcMode="autoNoTabl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8" i="2" l="1" a="1"/>
  <c r="B18" i="2" s="1"/>
  <c r="C18" i="2" a="1"/>
  <c r="C18" i="2" s="1"/>
  <c r="D18" i="2" a="1"/>
  <c r="D18" i="2" s="1"/>
  <c r="E18" i="2" a="1"/>
  <c r="E18" i="2"/>
  <c r="F18" i="2" a="1"/>
  <c r="F18" i="2" s="1"/>
  <c r="B19" i="2" a="1"/>
  <c r="B19" i="2" s="1"/>
  <c r="C19" i="2" a="1"/>
  <c r="C19" i="2" s="1"/>
  <c r="D19" i="2" a="1"/>
  <c r="D19" i="2"/>
  <c r="E19" i="2" a="1"/>
  <c r="E19" i="2" s="1"/>
  <c r="F19" i="2" a="1"/>
  <c r="F19" i="2" s="1"/>
  <c r="B20" i="2" a="1"/>
  <c r="B20" i="2" s="1"/>
  <c r="C20" i="2" a="1"/>
  <c r="C20" i="2" s="1"/>
  <c r="D20" i="2" a="1"/>
  <c r="D20" i="2" s="1"/>
  <c r="E20" i="2" a="1"/>
  <c r="E20" i="2" s="1"/>
  <c r="F20" i="2" a="1"/>
  <c r="F20" i="2" s="1"/>
  <c r="B21" i="2" a="1"/>
  <c r="B21" i="2" s="1"/>
  <c r="C21" i="2" a="1"/>
  <c r="C21" i="2" s="1"/>
  <c r="D21" i="2" a="1"/>
  <c r="D21" i="2" s="1"/>
  <c r="E21" i="2" a="1"/>
  <c r="E21" i="2" s="1"/>
  <c r="F21" i="2" a="1"/>
  <c r="F21" i="2" s="1"/>
  <c r="B22" i="2" a="1"/>
  <c r="B22" i="2" s="1"/>
  <c r="C22" i="2" a="1"/>
  <c r="C22" i="2" s="1"/>
  <c r="D22" i="2" a="1"/>
  <c r="D22" i="2" s="1"/>
  <c r="E22" i="2" a="1"/>
  <c r="E22" i="2" s="1"/>
  <c r="F22" i="2" a="1"/>
  <c r="F22" i="2" s="1"/>
  <c r="B23" i="2" a="1"/>
  <c r="B23" i="2" s="1"/>
  <c r="C23" i="2" a="1"/>
  <c r="C23" i="2" s="1"/>
  <c r="D23" i="2" a="1"/>
  <c r="D23" i="2" s="1"/>
  <c r="E23" i="2" a="1"/>
  <c r="E23" i="2" s="1"/>
  <c r="F23" i="2" a="1"/>
  <c r="F23" i="2" s="1"/>
  <c r="B24" i="2" a="1"/>
  <c r="B24" i="2" s="1"/>
  <c r="C24" i="2" a="1"/>
  <c r="C24" i="2" s="1"/>
  <c r="D24" i="2" a="1"/>
  <c r="D24" i="2" s="1"/>
  <c r="E24" i="2" a="1"/>
  <c r="E24" i="2" s="1"/>
  <c r="F24" i="2" a="1"/>
  <c r="F24" i="2" s="1"/>
  <c r="B25" i="2" a="1"/>
  <c r="B25" i="2" s="1"/>
  <c r="C25" i="2" a="1"/>
  <c r="C25" i="2" s="1"/>
  <c r="D25" i="2" a="1"/>
  <c r="D25" i="2" s="1"/>
  <c r="E25" i="2" a="1"/>
  <c r="E25" i="2" s="1"/>
  <c r="F25" i="2" a="1"/>
  <c r="F25" i="2" s="1"/>
  <c r="C17" i="2" a="1"/>
  <c r="C17" i="2" s="1"/>
  <c r="D17" i="2" a="1"/>
  <c r="D17" i="2" s="1"/>
  <c r="E17" i="2" a="1"/>
  <c r="E17" i="2" s="1"/>
  <c r="F17" i="2" a="1"/>
  <c r="F17" i="2" s="1"/>
  <c r="B17" i="2" a="1"/>
  <c r="B17" i="2" s="1"/>
  <c r="E6" i="2" a="1"/>
  <c r="E6" i="2" s="1"/>
  <c r="G7" i="2"/>
  <c r="G6" i="2" a="1"/>
  <c r="G6" i="2" s="1"/>
  <c r="F7" i="2"/>
  <c r="F6" i="2" a="1"/>
  <c r="F6" i="2" s="1"/>
  <c r="E7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<sst xmlns="http://schemas.openxmlformats.org/spreadsheetml/2006/main" count="3833" uniqueCount="25">
  <si>
    <t>Jen</t>
  </si>
  <si>
    <t>Cristina</t>
  </si>
  <si>
    <t>Colleen</t>
  </si>
  <si>
    <t>Hallagan</t>
  </si>
  <si>
    <t>Zaret</t>
  </si>
  <si>
    <t>Emilee</t>
  </si>
  <si>
    <t>Ashley</t>
  </si>
  <si>
    <t>Cici</t>
  </si>
  <si>
    <t>Betsy</t>
  </si>
  <si>
    <t>foundation</t>
  </si>
  <si>
    <t>lip gloss</t>
  </si>
  <si>
    <t>eye liner</t>
  </si>
  <si>
    <t>mascara</t>
  </si>
  <si>
    <t>lipstick</t>
  </si>
  <si>
    <t>Name</t>
  </si>
  <si>
    <t>Date</t>
  </si>
  <si>
    <t>Product</t>
  </si>
  <si>
    <t>Units</t>
  </si>
  <si>
    <t>Dollars</t>
  </si>
  <si>
    <t>Trans Number</t>
  </si>
  <si>
    <t>Array function</t>
  </si>
  <si>
    <t>units sold by jen</t>
  </si>
  <si>
    <t>other functions</t>
  </si>
  <si>
    <t>units lipstick sold by jen</t>
  </si>
  <si>
    <t>units sold by Jen or lipstick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</si>
</sst>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$&quot;* #,##0.00_);_(&quot;$&quot;* \(#,##0.00\);_(&quot;$&quot;* &quot;-&quot;??_);_(@_)"/>
  </numFmts>
  <fonts count="3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9">
    <xf numFmtId="0" fontId="0" fillId="0" borderId="0" xfId="0"/>
    <xf numFmtId="14" fontId="0" fillId="0" borderId="0" xfId="0" applyNumberFormat="1"/>
    <xf numFmtId="164" fontId="0" fillId="0" borderId="0" xfId="1" applyFont="1"/>
    <xf numFmtId="1" fontId="0" fillId="0" borderId="0" xfId="0" applyNumberFormat="1"/>
    <xf numFmtId="0" fontId="1" fillId="0" borderId="0" xfId="0" applyFont="1"/>
    <xf numFmtId="164" fontId="2" fillId="0" borderId="0" xfId="1" applyFont="1"/>
    <xf numFmtId="0" fontId="2" fillId="0" borderId="0" xfId="0" applyFont="1"/>
    <xf numFmtId="1" fontId="2" fillId="0" borderId="0" xfId="0" applyNumberFormat="1" applyFont="1"/>
    <xf numFmtId="0" fontId="2" fillId="0" borderId="0" xfId="0" applyFont="1" applyAlignment="1">
      <alignment wrapText="1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4:N1904"/>
  <sheetViews>
    <sheetView tabSelected="1" topLeftCell="A5" zoomScaleNormal="100" workbookViewId="0">
      <selection activeCell="I4" sqref="I4:N4"/>
    </sheetView>
  </sheetViews>
  <sheetFormatPr baseColWidth="10" defaultColWidth="8.83203125" defaultRowHeight="13" x14ac:dyDescent="0.15"/>
  <cols>
    <col min="1" max="1" width="16.6640625" customWidth="1"/>
    <col min="2" max="2" width="12.5" customWidth="1"/>
    <col min="3" max="3" width="13.33203125" customWidth="1"/>
    <col min="4" max="4" width="14.1640625" customWidth="1"/>
    <col min="5" max="5" width="12" customWidth="1"/>
    <col min="6" max="6" width="12.33203125" customWidth="1"/>
    <col min="9" max="9" width="13.5" customWidth="1"/>
    <col min="11" max="11" width="14.1640625" customWidth="1"/>
  </cols>
  <sheetData>
    <row r="4" spans="2:14" x14ac:dyDescent="0.15">
      <c r="I4" s="6" t="s">
        <v>19</v>
      </c>
      <c r="J4" s="6" t="s">
        <v>14</v>
      </c>
      <c r="K4" s="6" t="s">
        <v>15</v>
      </c>
      <c r="L4" s="6" t="s">
        <v>16</v>
      </c>
      <c r="M4" s="6" t="s">
        <v>17</v>
      </c>
      <c r="N4" s="6" t="s">
        <v>18</v>
      </c>
    </row>
    <row r="5" spans="2:14" ht="56" x14ac:dyDescent="0.15">
      <c r="D5" s="2"/>
      <c r="E5" s="8" t="s">
        <v>21</v>
      </c>
      <c r="F5" s="8" t="s">
        <v>23</v>
      </c>
      <c r="G5" s="8" t="s">
        <v>24</v>
      </c>
      <c r="I5">
        <v>1</v>
      </c>
      <c r="J5" t="s">
        <v>8</v>
      </c>
      <c r="K5" s="1">
        <v>38078</v>
      </c>
      <c r="L5" t="s">
        <v>10</v>
      </c>
      <c r="M5" s="3">
        <v>45</v>
      </c>
      <c r="N5" s="2">
        <v>137.20455832336393</v>
      </c>
    </row>
    <row r="6" spans="2:14" x14ac:dyDescent="0.15">
      <c r="D6" s="5" t="s">
        <v>20</v>
      </c>
      <c r="E6" s="4" cm="1">
        <f t="array" ref="E6">SUM(IF(J5:J1904="Jen",M5:M1904,0))</f>
        <v>9537</v>
      </c>
      <c r="F6" cm="1">
        <f t="array" ref="F6">SUM((J5:J1904="Jen")*(L5:L1904="lipstick")*M5:M1904)</f>
        <v>1299</v>
      </c>
      <c r="G6" cm="1">
        <f t="array" ref="G6">SUM(IF((J5:J1904="jen")+(L5:L1904="lipstick"),1,0)*M5:M1904)</f>
        <v>17061</v>
      </c>
      <c r="I6">
        <v>2</v>
      </c>
      <c r="J6" t="s">
        <v>3</v>
      </c>
      <c r="K6" s="1">
        <v>38056</v>
      </c>
      <c r="L6" t="s">
        <v>9</v>
      </c>
      <c r="M6" s="3">
        <v>50</v>
      </c>
      <c r="N6" s="2">
        <v>152.00730307485438</v>
      </c>
    </row>
    <row r="7" spans="2:14" x14ac:dyDescent="0.15">
      <c r="D7" s="5" t="s">
        <v>22</v>
      </c>
      <c r="E7">
        <f>SUMIF(Name,"Jen",Units)</f>
        <v>9537</v>
      </c>
      <c r="F7" s="4">
        <f>DSUM(J4:N1904,4,E9:F10)</f>
        <v>1299</v>
      </c>
      <c r="G7">
        <f>DSUM(J4:N1904,4,E12:F14)</f>
        <v>17061</v>
      </c>
      <c r="I7">
        <v>3</v>
      </c>
      <c r="J7" t="s">
        <v>6</v>
      </c>
      <c r="K7" s="1">
        <v>38408</v>
      </c>
      <c r="L7" t="s">
        <v>13</v>
      </c>
      <c r="M7" s="3">
        <v>9</v>
      </c>
      <c r="N7" s="2">
        <v>28.719483117139745</v>
      </c>
    </row>
    <row r="8" spans="2:14" x14ac:dyDescent="0.15">
      <c r="D8" s="2"/>
      <c r="I8">
        <v>4</v>
      </c>
      <c r="J8" t="s">
        <v>3</v>
      </c>
      <c r="K8" s="1">
        <v>38859</v>
      </c>
      <c r="L8" t="s">
        <v>10</v>
      </c>
      <c r="M8" s="3">
        <v>55</v>
      </c>
      <c r="N8" s="2">
        <v>167.07532251655616</v>
      </c>
    </row>
    <row r="9" spans="2:14" x14ac:dyDescent="0.15">
      <c r="D9" s="2"/>
      <c r="E9" t="s">
        <v>14</v>
      </c>
      <c r="F9" t="s">
        <v>16</v>
      </c>
      <c r="I9">
        <v>5</v>
      </c>
      <c r="J9" t="s">
        <v>4</v>
      </c>
      <c r="K9" s="1">
        <v>38155</v>
      </c>
      <c r="L9" t="s">
        <v>10</v>
      </c>
      <c r="M9" s="3">
        <v>43</v>
      </c>
      <c r="N9" s="2">
        <v>130.60287243901442</v>
      </c>
    </row>
    <row r="10" spans="2:14" x14ac:dyDescent="0.15">
      <c r="D10" s="2"/>
      <c r="E10" t="s">
        <v>0</v>
      </c>
      <c r="F10" t="s">
        <v>13</v>
      </c>
      <c r="I10">
        <v>6</v>
      </c>
      <c r="J10" t="s">
        <v>2</v>
      </c>
      <c r="K10" s="1">
        <v>38683</v>
      </c>
      <c r="L10" t="s">
        <v>11</v>
      </c>
      <c r="M10" s="3">
        <v>58</v>
      </c>
      <c r="N10" s="2">
        <v>175.99097407072162</v>
      </c>
    </row>
    <row r="11" spans="2:14" x14ac:dyDescent="0.15">
      <c r="D11" s="2"/>
      <c r="I11">
        <v>7</v>
      </c>
      <c r="J11" t="s">
        <v>1</v>
      </c>
      <c r="K11" s="1">
        <v>38067</v>
      </c>
      <c r="L11" t="s">
        <v>11</v>
      </c>
      <c r="M11" s="3">
        <v>8</v>
      </c>
      <c r="N11" s="2">
        <v>25.800692176216739</v>
      </c>
    </row>
    <row r="12" spans="2:14" x14ac:dyDescent="0.15">
      <c r="D12" s="2"/>
      <c r="E12" t="s">
        <v>14</v>
      </c>
      <c r="F12" t="s">
        <v>16</v>
      </c>
      <c r="I12">
        <v>8</v>
      </c>
      <c r="J12" t="s">
        <v>2</v>
      </c>
      <c r="K12" s="1">
        <v>39068</v>
      </c>
      <c r="L12" t="s">
        <v>10</v>
      </c>
      <c r="M12" s="3">
        <v>72</v>
      </c>
      <c r="N12" s="2">
        <v>217.83965386113226</v>
      </c>
    </row>
    <row r="13" spans="2:14" x14ac:dyDescent="0.15">
      <c r="D13" s="2"/>
      <c r="E13" t="s">
        <v>0</v>
      </c>
      <c r="I13">
        <v>9</v>
      </c>
      <c r="J13" t="s">
        <v>6</v>
      </c>
      <c r="K13" s="1">
        <v>38903</v>
      </c>
      <c r="L13" t="s">
        <v>11</v>
      </c>
      <c r="M13" s="3">
        <v>75</v>
      </c>
      <c r="N13" s="2">
        <v>226.64232685518837</v>
      </c>
    </row>
    <row r="14" spans="2:14" x14ac:dyDescent="0.15">
      <c r="D14" s="2"/>
      <c r="F14" t="s">
        <v>13</v>
      </c>
      <c r="I14">
        <v>10</v>
      </c>
      <c r="J14" t="s">
        <v>8</v>
      </c>
      <c r="K14" s="1">
        <v>38936</v>
      </c>
      <c r="L14" t="s">
        <v>10</v>
      </c>
      <c r="M14" s="3">
        <v>24</v>
      </c>
      <c r="N14" s="2">
        <v>73.502342173405509</v>
      </c>
    </row>
    <row r="15" spans="2:14" x14ac:dyDescent="0.15">
      <c r="D15" s="1"/>
      <c r="I15">
        <v>11</v>
      </c>
      <c r="J15" t="s">
        <v>6</v>
      </c>
      <c r="K15" s="1">
        <v>38320</v>
      </c>
      <c r="L15" t="s">
        <v>12</v>
      </c>
      <c r="M15" s="3">
        <v>43</v>
      </c>
      <c r="N15" s="2">
        <v>130.83536844241408</v>
      </c>
    </row>
    <row r="16" spans="2:14" x14ac:dyDescent="0.15">
      <c r="B16" s="6" t="s">
        <v>11</v>
      </c>
      <c r="C16" s="6" t="s">
        <v>9</v>
      </c>
      <c r="D16" s="7" t="s">
        <v>10</v>
      </c>
      <c r="E16" s="6" t="s">
        <v>13</v>
      </c>
      <c r="F16" s="6" t="s">
        <v>12</v>
      </c>
      <c r="I16">
        <v>12</v>
      </c>
      <c r="J16" t="s">
        <v>6</v>
      </c>
      <c r="K16" s="1">
        <v>38309</v>
      </c>
      <c r="L16" t="s">
        <v>10</v>
      </c>
      <c r="M16" s="3">
        <v>23</v>
      </c>
      <c r="N16" s="2">
        <v>71.034367691096961</v>
      </c>
    </row>
    <row r="17" spans="1:14" x14ac:dyDescent="0.15">
      <c r="A17" s="5" t="s">
        <v>6</v>
      </c>
      <c r="B17" cm="1">
        <f t="array" ref="B17">SUM(($J$5:$J$1904=$A17)*($L$5:$L$1904=B$16)*$M$5:$M$1904)</f>
        <v>1920</v>
      </c>
      <c r="C17" cm="1">
        <f t="array" ref="C17">SUM(($J$5:$J$1904=$A17)*($L$5:$L$1904=C$16)*$M$5:$M$1904)</f>
        <v>1373</v>
      </c>
      <c r="D17" cm="1">
        <f t="array" ref="D17">SUM(($J$5:$J$1904=$A17)*($L$5:$L$1904=D$16)*$M$5:$M$1904)</f>
        <v>1985</v>
      </c>
      <c r="E17" cm="1">
        <f t="array" ref="E17">SUM(($J$5:$J$1904=$A17)*($L$5:$L$1904=E$16)*$M$5:$M$1904)</f>
        <v>1066</v>
      </c>
      <c r="F17" cm="1">
        <f t="array" ref="F17">SUM(($J$5:$J$1904=$A17)*($L$5:$L$1904=F$16)*$M$5:$M$1904)</f>
        <v>2172</v>
      </c>
      <c r="I17">
        <v>13</v>
      </c>
      <c r="J17" t="s">
        <v>5</v>
      </c>
      <c r="K17" s="1">
        <v>38595</v>
      </c>
      <c r="L17" t="s">
        <v>10</v>
      </c>
      <c r="M17" s="3">
        <v>49</v>
      </c>
      <c r="N17" s="2">
        <v>149.59279694174981</v>
      </c>
    </row>
    <row r="18" spans="1:14" x14ac:dyDescent="0.15">
      <c r="A18" s="6" t="s">
        <v>8</v>
      </c>
      <c r="B18" cm="1">
        <f t="array" ref="B18">SUM(($J$5:$J$1904=$A18)*($L$5:$L$1904=B$16)*$M$5:$M$1904)</f>
        <v>1987</v>
      </c>
      <c r="C18" cm="1">
        <f t="array" ref="C18">SUM(($J$5:$J$1904=$A18)*($L$5:$L$1904=C$16)*$M$5:$M$1904)</f>
        <v>2726</v>
      </c>
      <c r="D18" cm="1">
        <f t="array" ref="D18">SUM(($J$5:$J$1904=$A18)*($L$5:$L$1904=D$16)*$M$5:$M$1904)</f>
        <v>1857</v>
      </c>
      <c r="E18" cm="1">
        <f t="array" ref="E18">SUM(($J$5:$J$1904=$A18)*($L$5:$L$1904=E$16)*$M$5:$M$1904)</f>
        <v>1305</v>
      </c>
      <c r="F18" cm="1">
        <f t="array" ref="F18">SUM(($J$5:$J$1904=$A18)*($L$5:$L$1904=F$16)*$M$5:$M$1904)</f>
        <v>1582</v>
      </c>
      <c r="I18">
        <v>14</v>
      </c>
      <c r="J18" t="s">
        <v>3</v>
      </c>
      <c r="K18" s="1">
        <v>38353</v>
      </c>
      <c r="L18" t="s">
        <v>11</v>
      </c>
      <c r="M18" s="3">
        <v>18</v>
      </c>
      <c r="N18" s="2">
        <v>56.471999230139573</v>
      </c>
    </row>
    <row r="19" spans="1:14" x14ac:dyDescent="0.15">
      <c r="A19" s="6" t="s">
        <v>7</v>
      </c>
      <c r="B19" cm="1">
        <f t="array" ref="B19">SUM(($J$5:$J$1904=$A19)*($L$5:$L$1904=B$16)*$M$5:$M$1904)</f>
        <v>1960</v>
      </c>
      <c r="C19" cm="1">
        <f t="array" ref="C19">SUM(($J$5:$J$1904=$A19)*($L$5:$L$1904=C$16)*$M$5:$M$1904)</f>
        <v>2031</v>
      </c>
      <c r="D19" cm="1">
        <f t="array" ref="D19">SUM(($J$5:$J$1904=$A19)*($L$5:$L$1904=D$16)*$M$5:$M$1904)</f>
        <v>1701</v>
      </c>
      <c r="E19" cm="1">
        <f t="array" ref="E19">SUM(($J$5:$J$1904=$A19)*($L$5:$L$1904=E$16)*$M$5:$M$1904)</f>
        <v>1035</v>
      </c>
      <c r="F19" cm="1">
        <f t="array" ref="F19">SUM(($J$5:$J$1904=$A19)*($L$5:$L$1904=F$16)*$M$5:$M$1904)</f>
        <v>2317</v>
      </c>
      <c r="I19">
        <v>15</v>
      </c>
      <c r="J19" t="s">
        <v>4</v>
      </c>
      <c r="K19" s="1">
        <v>38980</v>
      </c>
      <c r="L19" t="s">
        <v>9</v>
      </c>
      <c r="M19" s="3">
        <v>-8</v>
      </c>
      <c r="N19" s="2">
        <v>-21.993044717303864</v>
      </c>
    </row>
    <row r="20" spans="1:14" x14ac:dyDescent="0.15">
      <c r="A20" s="6" t="s">
        <v>2</v>
      </c>
      <c r="B20" cm="1">
        <f t="array" ref="B20">SUM(($J$5:$J$1904=$A20)*($L$5:$L$1904=B$16)*$M$5:$M$1904)</f>
        <v>1107</v>
      </c>
      <c r="C20" cm="1">
        <f t="array" ref="C20">SUM(($J$5:$J$1904=$A20)*($L$5:$L$1904=C$16)*$M$5:$M$1904)</f>
        <v>2242</v>
      </c>
      <c r="D20" cm="1">
        <f t="array" ref="D20">SUM(($J$5:$J$1904=$A20)*($L$5:$L$1904=D$16)*$M$5:$M$1904)</f>
        <v>1831</v>
      </c>
      <c r="E20" cm="1">
        <f t="array" ref="E20">SUM(($J$5:$J$1904=$A20)*($L$5:$L$1904=E$16)*$M$5:$M$1904)</f>
        <v>765</v>
      </c>
      <c r="F20" cm="1">
        <f t="array" ref="F20">SUM(($J$5:$J$1904=$A20)*($L$5:$L$1904=F$16)*$M$5:$M$1904)</f>
        <v>2215</v>
      </c>
      <c r="I20">
        <v>16</v>
      </c>
      <c r="J20" t="s">
        <v>5</v>
      </c>
      <c r="K20" s="1">
        <v>38089</v>
      </c>
      <c r="L20" t="s">
        <v>12</v>
      </c>
      <c r="M20" s="3">
        <v>45</v>
      </c>
      <c r="N20" s="2">
        <v>137.39037590916232</v>
      </c>
    </row>
    <row r="21" spans="1:14" x14ac:dyDescent="0.15">
      <c r="A21" s="7" t="s">
        <v>1</v>
      </c>
      <c r="B21" cm="1">
        <f t="array" ref="B21">SUM(($J$5:$J$1904=$A21)*($L$5:$L$1904=B$16)*$M$5:$M$1904)</f>
        <v>1770</v>
      </c>
      <c r="C21" cm="1">
        <f t="array" ref="C21">SUM(($J$5:$J$1904=$A21)*($L$5:$L$1904=C$16)*$M$5:$M$1904)</f>
        <v>1729</v>
      </c>
      <c r="D21" cm="1">
        <f t="array" ref="D21">SUM(($J$5:$J$1904=$A21)*($L$5:$L$1904=D$16)*$M$5:$M$1904)</f>
        <v>1734</v>
      </c>
      <c r="E21" cm="1">
        <f t="array" ref="E21">SUM(($J$5:$J$1904=$A21)*($L$5:$L$1904=E$16)*$M$5:$M$1904)</f>
        <v>788</v>
      </c>
      <c r="F21" cm="1">
        <f t="array" ref="F21">SUM(($J$5:$J$1904=$A21)*($L$5:$L$1904=F$16)*$M$5:$M$1904)</f>
        <v>1790</v>
      </c>
      <c r="I21">
        <v>17</v>
      </c>
      <c r="J21" t="s">
        <v>2</v>
      </c>
      <c r="K21" s="1">
        <v>38837</v>
      </c>
      <c r="L21" t="s">
        <v>12</v>
      </c>
      <c r="M21" s="3">
        <v>66</v>
      </c>
      <c r="N21" s="2">
        <v>199.65433473774931</v>
      </c>
    </row>
    <row r="22" spans="1:14" x14ac:dyDescent="0.15">
      <c r="A22" s="5" t="s">
        <v>5</v>
      </c>
      <c r="B22" cm="1">
        <f t="array" ref="B22">SUM(($J$5:$J$1904=$A22)*($L$5:$L$1904=B$16)*$M$5:$M$1904)</f>
        <v>2490</v>
      </c>
      <c r="C22" cm="1">
        <f t="array" ref="C22">SUM(($J$5:$J$1904=$A22)*($L$5:$L$1904=C$16)*$M$5:$M$1904)</f>
        <v>1803</v>
      </c>
      <c r="D22" cm="1">
        <f t="array" ref="D22">SUM(($J$5:$J$1904=$A22)*($L$5:$L$1904=D$16)*$M$5:$M$1904)</f>
        <v>1725</v>
      </c>
      <c r="E22" cm="1">
        <f t="array" ref="E22">SUM(($J$5:$J$1904=$A22)*($L$5:$L$1904=E$16)*$M$5:$M$1904)</f>
        <v>720</v>
      </c>
      <c r="F22" cm="1">
        <f t="array" ref="F22">SUM(($J$5:$J$1904=$A22)*($L$5:$L$1904=F$16)*$M$5:$M$1904)</f>
        <v>1545</v>
      </c>
      <c r="I22">
        <v>18</v>
      </c>
      <c r="J22" t="s">
        <v>0</v>
      </c>
      <c r="K22" s="1">
        <v>38595</v>
      </c>
      <c r="L22" t="s">
        <v>10</v>
      </c>
      <c r="M22" s="3">
        <v>88</v>
      </c>
      <c r="N22" s="2">
        <v>265.18755145539586</v>
      </c>
    </row>
    <row r="23" spans="1:14" x14ac:dyDescent="0.15">
      <c r="A23" s="5" t="s">
        <v>3</v>
      </c>
      <c r="B23" cm="1">
        <f t="array" ref="B23">SUM(($J$5:$J$1904=$A23)*($L$5:$L$1904=B$16)*$M$5:$M$1904)</f>
        <v>2288</v>
      </c>
      <c r="C23" cm="1">
        <f t="array" ref="C23">SUM(($J$5:$J$1904=$A23)*($L$5:$L$1904=C$16)*$M$5:$M$1904)</f>
        <v>2387</v>
      </c>
      <c r="D23" cm="1">
        <f t="array" ref="D23">SUM(($J$5:$J$1904=$A23)*($L$5:$L$1904=D$16)*$M$5:$M$1904)</f>
        <v>1840</v>
      </c>
      <c r="E23" cm="1">
        <f t="array" ref="E23">SUM(($J$5:$J$1904=$A23)*($L$5:$L$1904=E$16)*$M$5:$M$1904)</f>
        <v>1045</v>
      </c>
      <c r="F23" cm="1">
        <f t="array" ref="F23">SUM(($J$5:$J$1904=$A23)*($L$5:$L$1904=F$16)*$M$5:$M$1904)</f>
        <v>1873</v>
      </c>
      <c r="I23">
        <v>19</v>
      </c>
      <c r="J23" t="s">
        <v>0</v>
      </c>
      <c r="K23" s="1">
        <v>38287</v>
      </c>
      <c r="L23" t="s">
        <v>11</v>
      </c>
      <c r="M23" s="3">
        <v>78</v>
      </c>
      <c r="N23" s="2">
        <v>236.14697789113248</v>
      </c>
    </row>
    <row r="24" spans="1:14" x14ac:dyDescent="0.15">
      <c r="A24" s="7" t="s">
        <v>0</v>
      </c>
      <c r="B24" cm="1">
        <f t="array" ref="B24">SUM(($J$5:$J$1904=$A24)*($L$5:$L$1904=B$16)*$M$5:$M$1904)</f>
        <v>2302</v>
      </c>
      <c r="C24" cm="1">
        <f t="array" ref="C24">SUM(($J$5:$J$1904=$A24)*($L$5:$L$1904=C$16)*$M$5:$M$1904)</f>
        <v>1883</v>
      </c>
      <c r="D24" cm="1">
        <f t="array" ref="D24">SUM(($J$5:$J$1904=$A24)*($L$5:$L$1904=D$16)*$M$5:$M$1904)</f>
        <v>1792</v>
      </c>
      <c r="E24" cm="1">
        <f t="array" ref="E24">SUM(($J$5:$J$1904=$A24)*($L$5:$L$1904=E$16)*$M$5:$M$1904)</f>
        <v>1299</v>
      </c>
      <c r="F24" cm="1">
        <f t="array" ref="F24">SUM(($J$5:$J$1904=$A24)*($L$5:$L$1904=F$16)*$M$5:$M$1904)</f>
        <v>2261</v>
      </c>
      <c r="I24">
        <v>20</v>
      </c>
      <c r="J24" t="s">
        <v>4</v>
      </c>
      <c r="K24" s="1">
        <v>38683</v>
      </c>
      <c r="L24" t="s">
        <v>10</v>
      </c>
      <c r="M24" s="3">
        <v>57</v>
      </c>
      <c r="N24" s="2">
        <v>173.11529461915569</v>
      </c>
    </row>
    <row r="25" spans="1:14" x14ac:dyDescent="0.15">
      <c r="A25" s="7" t="s">
        <v>4</v>
      </c>
      <c r="B25" cm="1">
        <f t="array" ref="B25">SUM(($J$5:$J$1904=$A25)*($L$5:$L$1904=B$16)*$M$5:$M$1904)</f>
        <v>2715</v>
      </c>
      <c r="C25" cm="1">
        <f t="array" ref="C25">SUM(($J$5:$J$1904=$A25)*($L$5:$L$1904=C$16)*$M$5:$M$1904)</f>
        <v>2117</v>
      </c>
      <c r="D25" cm="1">
        <f t="array" ref="D25">SUM(($J$5:$J$1904=$A25)*($L$5:$L$1904=D$16)*$M$5:$M$1904)</f>
        <v>1868</v>
      </c>
      <c r="E25" cm="1">
        <f t="array" ref="E25">SUM(($J$5:$J$1904=$A25)*($L$5:$L$1904=E$16)*$M$5:$M$1904)</f>
        <v>800</v>
      </c>
      <c r="F25" cm="1">
        <f t="array" ref="F25">SUM(($J$5:$J$1904=$A25)*($L$5:$L$1904=F$16)*$M$5:$M$1904)</f>
        <v>1268</v>
      </c>
      <c r="I25">
        <v>21</v>
      </c>
      <c r="J25" t="s">
        <v>4</v>
      </c>
      <c r="K25" s="1">
        <v>38870</v>
      </c>
      <c r="L25" t="s">
        <v>12</v>
      </c>
      <c r="M25" s="3">
        <v>12</v>
      </c>
      <c r="N25" s="2">
        <v>38.081435709433634</v>
      </c>
    </row>
    <row r="26" spans="1:14" x14ac:dyDescent="0.15">
      <c r="D26" s="3"/>
      <c r="I26">
        <v>22</v>
      </c>
      <c r="J26" t="s">
        <v>8</v>
      </c>
      <c r="K26" s="1">
        <v>38254</v>
      </c>
      <c r="L26" t="s">
        <v>11</v>
      </c>
      <c r="M26" s="3">
        <v>28</v>
      </c>
      <c r="N26" s="2">
        <v>86.512775700642493</v>
      </c>
    </row>
    <row r="27" spans="1:14" x14ac:dyDescent="0.15">
      <c r="D27" s="3"/>
      <c r="I27">
        <v>23</v>
      </c>
      <c r="J27" t="s">
        <v>2</v>
      </c>
      <c r="K27" s="1">
        <v>38749</v>
      </c>
      <c r="L27" t="s">
        <v>12</v>
      </c>
      <c r="M27" s="3">
        <v>25</v>
      </c>
      <c r="N27" s="2">
        <v>77.307151643363554</v>
      </c>
    </row>
    <row r="28" spans="1:14" x14ac:dyDescent="0.15">
      <c r="D28" s="3"/>
      <c r="I28">
        <v>24</v>
      </c>
      <c r="J28" t="s">
        <v>3</v>
      </c>
      <c r="K28" s="1">
        <v>38474</v>
      </c>
      <c r="L28" t="s">
        <v>9</v>
      </c>
      <c r="M28" s="3">
        <v>29</v>
      </c>
      <c r="N28" s="2">
        <v>88.222745876339161</v>
      </c>
    </row>
    <row r="29" spans="1:14" x14ac:dyDescent="0.15">
      <c r="D29" s="3"/>
      <c r="I29">
        <v>25</v>
      </c>
      <c r="J29" t="s">
        <v>0</v>
      </c>
      <c r="K29" s="1">
        <v>38298</v>
      </c>
      <c r="L29" t="s">
        <v>12</v>
      </c>
      <c r="M29" s="3">
        <v>-4</v>
      </c>
      <c r="N29" s="2">
        <v>-9.9439491268532194</v>
      </c>
    </row>
    <row r="30" spans="1:14" x14ac:dyDescent="0.15">
      <c r="D30" s="3"/>
      <c r="I30">
        <v>26</v>
      </c>
      <c r="J30" t="s">
        <v>5</v>
      </c>
      <c r="K30" s="1">
        <v>39057</v>
      </c>
      <c r="L30" t="s">
        <v>10</v>
      </c>
      <c r="M30" s="3">
        <v>24</v>
      </c>
      <c r="N30" s="2">
        <v>74.622434460070465</v>
      </c>
    </row>
    <row r="31" spans="1:14" x14ac:dyDescent="0.15">
      <c r="D31" s="3"/>
      <c r="I31">
        <v>27</v>
      </c>
      <c r="J31" t="s">
        <v>0</v>
      </c>
      <c r="K31" s="1">
        <v>38089</v>
      </c>
      <c r="L31" t="s">
        <v>13</v>
      </c>
      <c r="M31" s="3">
        <v>38</v>
      </c>
      <c r="N31" s="2">
        <v>115.98517718889856</v>
      </c>
    </row>
    <row r="32" spans="1:14" x14ac:dyDescent="0.15">
      <c r="D32" s="3"/>
      <c r="I32">
        <v>28</v>
      </c>
      <c r="J32" t="s">
        <v>1</v>
      </c>
      <c r="K32" s="1">
        <v>38617</v>
      </c>
      <c r="L32" t="s">
        <v>9</v>
      </c>
      <c r="M32" s="3">
        <v>77</v>
      </c>
      <c r="N32" s="2">
        <v>233.05438870487612</v>
      </c>
    </row>
    <row r="33" spans="4:14" x14ac:dyDescent="0.15">
      <c r="D33" s="3"/>
      <c r="I33">
        <v>29</v>
      </c>
      <c r="J33" t="s">
        <v>8</v>
      </c>
      <c r="K33" s="1">
        <v>39013</v>
      </c>
      <c r="L33" t="s">
        <v>9</v>
      </c>
      <c r="M33" s="3">
        <v>77</v>
      </c>
      <c r="N33" s="2">
        <v>233.35651970431758</v>
      </c>
    </row>
    <row r="34" spans="4:14" x14ac:dyDescent="0.15">
      <c r="D34" s="3"/>
      <c r="I34">
        <v>30</v>
      </c>
      <c r="J34" t="s">
        <v>3</v>
      </c>
      <c r="K34" s="1">
        <v>38672</v>
      </c>
      <c r="L34" t="s">
        <v>9</v>
      </c>
      <c r="M34" s="3">
        <v>60</v>
      </c>
      <c r="N34" s="2">
        <v>182.24664750326718</v>
      </c>
    </row>
    <row r="35" spans="4:14" x14ac:dyDescent="0.15">
      <c r="D35" s="3"/>
      <c r="I35">
        <v>31</v>
      </c>
      <c r="J35" t="s">
        <v>4</v>
      </c>
      <c r="K35" s="1">
        <v>38606</v>
      </c>
      <c r="L35" t="s">
        <v>10</v>
      </c>
      <c r="M35" s="3">
        <v>6</v>
      </c>
      <c r="N35" s="2">
        <v>20.481843585001322</v>
      </c>
    </row>
    <row r="36" spans="4:14" x14ac:dyDescent="0.15">
      <c r="D36" s="3"/>
      <c r="I36">
        <v>32</v>
      </c>
      <c r="J36" t="s">
        <v>1</v>
      </c>
      <c r="K36" s="1">
        <v>38804</v>
      </c>
      <c r="L36" t="s">
        <v>10</v>
      </c>
      <c r="M36" s="3">
        <v>53</v>
      </c>
      <c r="N36" s="2">
        <v>161.46395235499537</v>
      </c>
    </row>
    <row r="37" spans="4:14" x14ac:dyDescent="0.15">
      <c r="D37" s="3"/>
      <c r="I37">
        <v>33</v>
      </c>
      <c r="J37" t="s">
        <v>7</v>
      </c>
      <c r="K37" s="1">
        <v>38155</v>
      </c>
      <c r="L37" t="s">
        <v>12</v>
      </c>
      <c r="M37" s="3">
        <v>41</v>
      </c>
      <c r="N37" s="2">
        <v>125.2697558819725</v>
      </c>
    </row>
    <row r="38" spans="4:14" x14ac:dyDescent="0.15">
      <c r="D38" s="3"/>
      <c r="I38">
        <v>34</v>
      </c>
      <c r="J38" t="s">
        <v>4</v>
      </c>
      <c r="K38" s="1">
        <v>38969</v>
      </c>
      <c r="L38" t="s">
        <v>12</v>
      </c>
      <c r="M38" s="3">
        <v>19</v>
      </c>
      <c r="N38" s="2">
        <v>59.153898700773034</v>
      </c>
    </row>
    <row r="39" spans="4:14" x14ac:dyDescent="0.15">
      <c r="D39" s="3"/>
      <c r="I39">
        <v>35</v>
      </c>
      <c r="J39" t="s">
        <v>0</v>
      </c>
      <c r="K39" s="1">
        <v>39079</v>
      </c>
      <c r="L39" t="s">
        <v>9</v>
      </c>
      <c r="M39" s="3">
        <v>39</v>
      </c>
      <c r="N39" s="2">
        <v>119.30030273172213</v>
      </c>
    </row>
    <row r="40" spans="4:14" x14ac:dyDescent="0.15">
      <c r="D40" s="3"/>
      <c r="I40">
        <v>36</v>
      </c>
      <c r="J40" t="s">
        <v>8</v>
      </c>
      <c r="K40" s="1">
        <v>38243</v>
      </c>
      <c r="L40" t="s">
        <v>10</v>
      </c>
      <c r="M40" s="3">
        <v>2</v>
      </c>
      <c r="N40" s="2">
        <v>8.2604004984897017</v>
      </c>
    </row>
    <row r="41" spans="4:14" x14ac:dyDescent="0.15">
      <c r="D41" s="3"/>
      <c r="I41">
        <v>37</v>
      </c>
      <c r="J41" t="s">
        <v>4</v>
      </c>
      <c r="K41" s="1">
        <v>38540</v>
      </c>
      <c r="L41" t="s">
        <v>11</v>
      </c>
      <c r="M41" s="3">
        <v>34</v>
      </c>
      <c r="N41" s="2">
        <v>103.43841434718642</v>
      </c>
    </row>
    <row r="42" spans="4:14" x14ac:dyDescent="0.15">
      <c r="D42" s="3"/>
      <c r="I42">
        <v>38</v>
      </c>
      <c r="J42" t="s">
        <v>5</v>
      </c>
      <c r="K42" s="1">
        <v>38419</v>
      </c>
      <c r="L42" t="s">
        <v>9</v>
      </c>
      <c r="M42" s="3">
        <v>59</v>
      </c>
      <c r="N42" s="2">
        <v>179.01001770576869</v>
      </c>
    </row>
    <row r="43" spans="4:14" x14ac:dyDescent="0.15">
      <c r="D43" s="3"/>
      <c r="I43">
        <v>39</v>
      </c>
      <c r="J43" t="s">
        <v>7</v>
      </c>
      <c r="K43" s="1">
        <v>38771</v>
      </c>
      <c r="L43" t="s">
        <v>9</v>
      </c>
      <c r="M43" s="3">
        <v>-9</v>
      </c>
      <c r="N43" s="2">
        <v>-24.625751249139931</v>
      </c>
    </row>
    <row r="44" spans="4:14" x14ac:dyDescent="0.15">
      <c r="D44" s="3"/>
      <c r="I44">
        <v>40</v>
      </c>
      <c r="J44" t="s">
        <v>3</v>
      </c>
      <c r="K44" s="1">
        <v>38892</v>
      </c>
      <c r="L44" t="s">
        <v>9</v>
      </c>
      <c r="M44" s="3">
        <v>38</v>
      </c>
      <c r="N44" s="2">
        <v>115.58433775100286</v>
      </c>
    </row>
    <row r="45" spans="4:14" x14ac:dyDescent="0.15">
      <c r="D45" s="3"/>
      <c r="I45">
        <v>41</v>
      </c>
      <c r="J45" t="s">
        <v>5</v>
      </c>
      <c r="K45" s="1">
        <v>38023</v>
      </c>
      <c r="L45" t="s">
        <v>11</v>
      </c>
      <c r="M45" s="3">
        <v>25</v>
      </c>
      <c r="N45" s="2">
        <v>76.562095842195291</v>
      </c>
    </row>
    <row r="46" spans="4:14" x14ac:dyDescent="0.15">
      <c r="D46" s="3"/>
      <c r="I46">
        <v>42</v>
      </c>
      <c r="J46" t="s">
        <v>5</v>
      </c>
      <c r="K46" s="1">
        <v>38452</v>
      </c>
      <c r="L46" t="s">
        <v>12</v>
      </c>
      <c r="M46" s="3">
        <v>19</v>
      </c>
      <c r="N46" s="2">
        <v>59.382749361194016</v>
      </c>
    </row>
    <row r="47" spans="4:14" x14ac:dyDescent="0.15">
      <c r="D47" s="3"/>
      <c r="I47">
        <v>43</v>
      </c>
      <c r="J47" t="s">
        <v>8</v>
      </c>
      <c r="K47" s="1">
        <v>38078</v>
      </c>
      <c r="L47" t="s">
        <v>9</v>
      </c>
      <c r="M47" s="3">
        <v>86</v>
      </c>
      <c r="N47" s="2">
        <v>259.85996934004856</v>
      </c>
    </row>
    <row r="48" spans="4:14" x14ac:dyDescent="0.15">
      <c r="D48" s="3"/>
      <c r="I48">
        <v>44</v>
      </c>
      <c r="J48" t="s">
        <v>2</v>
      </c>
      <c r="K48" s="1">
        <v>38144</v>
      </c>
      <c r="L48" t="s">
        <v>10</v>
      </c>
      <c r="M48" s="3">
        <v>55</v>
      </c>
      <c r="N48" s="2">
        <v>167.11761356978838</v>
      </c>
    </row>
    <row r="49" spans="4:14" x14ac:dyDescent="0.15">
      <c r="D49" s="3"/>
      <c r="I49">
        <v>45</v>
      </c>
      <c r="J49" t="s">
        <v>5</v>
      </c>
      <c r="K49" s="1">
        <v>38980</v>
      </c>
      <c r="L49" t="s">
        <v>10</v>
      </c>
      <c r="M49" s="3">
        <v>2</v>
      </c>
      <c r="N49" s="2">
        <v>7.8483600384211831</v>
      </c>
    </row>
    <row r="50" spans="4:14" x14ac:dyDescent="0.15">
      <c r="D50" s="3"/>
      <c r="I50">
        <v>46</v>
      </c>
      <c r="J50" t="s">
        <v>6</v>
      </c>
      <c r="K50" s="1">
        <v>38573</v>
      </c>
      <c r="L50" t="s">
        <v>12</v>
      </c>
      <c r="M50" s="3">
        <v>93</v>
      </c>
      <c r="N50" s="2">
        <v>280.68747862762837</v>
      </c>
    </row>
    <row r="51" spans="4:14" x14ac:dyDescent="0.15">
      <c r="D51" s="3"/>
      <c r="I51">
        <v>47</v>
      </c>
      <c r="J51" t="s">
        <v>4</v>
      </c>
      <c r="K51" s="1">
        <v>38254</v>
      </c>
      <c r="L51" t="s">
        <v>11</v>
      </c>
      <c r="M51" s="3">
        <v>14</v>
      </c>
      <c r="N51" s="2">
        <v>43.931553656204748</v>
      </c>
    </row>
    <row r="52" spans="4:14" x14ac:dyDescent="0.15">
      <c r="D52" s="3"/>
      <c r="I52">
        <v>48</v>
      </c>
      <c r="J52" t="s">
        <v>5</v>
      </c>
      <c r="K52" s="1">
        <v>38496</v>
      </c>
      <c r="L52" t="s">
        <v>11</v>
      </c>
      <c r="M52" s="3">
        <v>37</v>
      </c>
      <c r="N52" s="2">
        <v>113.03491000904664</v>
      </c>
    </row>
    <row r="53" spans="4:14" x14ac:dyDescent="0.15">
      <c r="D53" s="3"/>
      <c r="I53">
        <v>49</v>
      </c>
      <c r="J53" t="s">
        <v>8</v>
      </c>
      <c r="K53" s="1">
        <v>38309</v>
      </c>
      <c r="L53" t="s">
        <v>9</v>
      </c>
      <c r="M53" s="3">
        <v>63</v>
      </c>
      <c r="N53" s="2">
        <v>190.69511057123685</v>
      </c>
    </row>
    <row r="54" spans="4:14" x14ac:dyDescent="0.15">
      <c r="D54" s="3"/>
      <c r="I54">
        <v>50</v>
      </c>
      <c r="J54" t="s">
        <v>4</v>
      </c>
      <c r="K54" s="1">
        <v>38309</v>
      </c>
      <c r="L54" t="s">
        <v>10</v>
      </c>
      <c r="M54" s="3">
        <v>1</v>
      </c>
      <c r="N54" s="2">
        <v>5.599704779498877</v>
      </c>
    </row>
    <row r="55" spans="4:14" x14ac:dyDescent="0.15">
      <c r="D55" s="3"/>
      <c r="I55">
        <v>51</v>
      </c>
      <c r="J55" t="s">
        <v>4</v>
      </c>
      <c r="K55" s="1">
        <v>38518</v>
      </c>
      <c r="L55" t="s">
        <v>11</v>
      </c>
      <c r="M55" s="3">
        <v>24</v>
      </c>
      <c r="N55" s="2">
        <v>73.599272692165783</v>
      </c>
    </row>
    <row r="56" spans="4:14" x14ac:dyDescent="0.15">
      <c r="D56" s="3"/>
      <c r="I56">
        <v>52</v>
      </c>
      <c r="J56" t="s">
        <v>3</v>
      </c>
      <c r="K56" s="1">
        <v>37990</v>
      </c>
      <c r="L56" t="s">
        <v>11</v>
      </c>
      <c r="M56" s="3">
        <v>83</v>
      </c>
      <c r="N56" s="2">
        <v>250.33273832124888</v>
      </c>
    </row>
    <row r="57" spans="4:14" x14ac:dyDescent="0.15">
      <c r="D57" s="3"/>
      <c r="I57">
        <v>53</v>
      </c>
      <c r="J57" t="s">
        <v>7</v>
      </c>
      <c r="K57" s="1">
        <v>38540</v>
      </c>
      <c r="L57" t="s">
        <v>11</v>
      </c>
      <c r="M57" s="3">
        <v>49</v>
      </c>
      <c r="N57" s="2">
        <v>148.50659729480034</v>
      </c>
    </row>
    <row r="58" spans="4:14" x14ac:dyDescent="0.15">
      <c r="D58" s="3"/>
      <c r="I58">
        <v>54</v>
      </c>
      <c r="J58" t="s">
        <v>1</v>
      </c>
      <c r="K58" s="1">
        <v>38452</v>
      </c>
      <c r="L58" t="s">
        <v>10</v>
      </c>
      <c r="M58" s="3">
        <v>26</v>
      </c>
      <c r="N58" s="2">
        <v>80.197912185633001</v>
      </c>
    </row>
    <row r="59" spans="4:14" x14ac:dyDescent="0.15">
      <c r="D59" s="3"/>
      <c r="I59">
        <v>55</v>
      </c>
      <c r="J59" t="s">
        <v>0</v>
      </c>
      <c r="K59" s="1">
        <v>38859</v>
      </c>
      <c r="L59" t="s">
        <v>10</v>
      </c>
      <c r="M59" s="3">
        <v>35</v>
      </c>
      <c r="N59" s="2">
        <v>107.99264815962536</v>
      </c>
    </row>
    <row r="60" spans="4:14" x14ac:dyDescent="0.15">
      <c r="D60" s="3"/>
      <c r="I60">
        <v>56</v>
      </c>
      <c r="J60" t="s">
        <v>1</v>
      </c>
      <c r="K60" s="1">
        <v>38089</v>
      </c>
      <c r="L60" t="s">
        <v>10</v>
      </c>
      <c r="M60" s="3">
        <v>8</v>
      </c>
      <c r="N60" s="2">
        <v>26.909399775034267</v>
      </c>
    </row>
    <row r="61" spans="4:14" x14ac:dyDescent="0.15">
      <c r="D61" s="3"/>
      <c r="I61">
        <v>57</v>
      </c>
      <c r="J61" t="s">
        <v>7</v>
      </c>
      <c r="K61" s="1">
        <v>38166</v>
      </c>
      <c r="L61" t="s">
        <v>12</v>
      </c>
      <c r="M61" s="3">
        <v>49</v>
      </c>
      <c r="N61" s="2">
        <v>148.777847479907</v>
      </c>
    </row>
    <row r="62" spans="4:14" x14ac:dyDescent="0.15">
      <c r="D62" s="3"/>
      <c r="I62">
        <v>58</v>
      </c>
      <c r="J62" t="s">
        <v>1</v>
      </c>
      <c r="K62" s="1">
        <v>38089</v>
      </c>
      <c r="L62" t="s">
        <v>9</v>
      </c>
      <c r="M62" s="3">
        <v>34</v>
      </c>
      <c r="N62" s="2">
        <v>104.09375694795658</v>
      </c>
    </row>
    <row r="63" spans="4:14" x14ac:dyDescent="0.15">
      <c r="D63" s="3"/>
      <c r="I63">
        <v>59</v>
      </c>
      <c r="J63" t="s">
        <v>1</v>
      </c>
      <c r="K63" s="1">
        <v>38694</v>
      </c>
      <c r="L63" t="s">
        <v>10</v>
      </c>
      <c r="M63" s="3">
        <v>8</v>
      </c>
      <c r="N63" s="2">
        <v>26.236564211223342</v>
      </c>
    </row>
    <row r="64" spans="4:14" x14ac:dyDescent="0.15">
      <c r="D64" s="3"/>
      <c r="I64">
        <v>60</v>
      </c>
      <c r="J64" t="s">
        <v>0</v>
      </c>
      <c r="K64" s="1">
        <v>38287</v>
      </c>
      <c r="L64" t="s">
        <v>12</v>
      </c>
      <c r="M64" s="3">
        <v>89</v>
      </c>
      <c r="N64" s="2">
        <v>269.09085017901094</v>
      </c>
    </row>
    <row r="65" spans="4:14" x14ac:dyDescent="0.15">
      <c r="D65" s="3"/>
      <c r="I65">
        <v>61</v>
      </c>
      <c r="J65" t="s">
        <v>2</v>
      </c>
      <c r="K65" s="1">
        <v>38672</v>
      </c>
      <c r="L65" t="s">
        <v>9</v>
      </c>
      <c r="M65" s="3">
        <v>62</v>
      </c>
      <c r="N65" s="2">
        <v>189.25415891346557</v>
      </c>
    </row>
    <row r="66" spans="4:14" x14ac:dyDescent="0.15">
      <c r="D66" s="3"/>
      <c r="I66">
        <v>62</v>
      </c>
      <c r="J66" t="s">
        <v>5</v>
      </c>
      <c r="K66" s="1">
        <v>38210</v>
      </c>
      <c r="L66" t="s">
        <v>9</v>
      </c>
      <c r="M66" s="3">
        <v>23</v>
      </c>
      <c r="N66" s="2">
        <v>71.313211840267556</v>
      </c>
    </row>
    <row r="67" spans="4:14" x14ac:dyDescent="0.15">
      <c r="D67" s="3"/>
      <c r="I67">
        <v>63</v>
      </c>
      <c r="J67" t="s">
        <v>7</v>
      </c>
      <c r="K67" s="1">
        <v>38155</v>
      </c>
      <c r="L67" t="s">
        <v>11</v>
      </c>
      <c r="M67" s="3">
        <v>95</v>
      </c>
      <c r="N67" s="2">
        <v>287.76081692141696</v>
      </c>
    </row>
    <row r="68" spans="4:14" x14ac:dyDescent="0.15">
      <c r="D68" s="3"/>
      <c r="I68">
        <v>64</v>
      </c>
      <c r="J68" t="s">
        <v>5</v>
      </c>
      <c r="K68" s="1">
        <v>38848</v>
      </c>
      <c r="L68" t="s">
        <v>11</v>
      </c>
      <c r="M68" s="3">
        <v>41</v>
      </c>
      <c r="N68" s="2">
        <v>125.00018840758105</v>
      </c>
    </row>
    <row r="69" spans="4:14" x14ac:dyDescent="0.15">
      <c r="D69" s="3"/>
      <c r="I69">
        <v>65</v>
      </c>
      <c r="J69" t="s">
        <v>6</v>
      </c>
      <c r="K69" s="1">
        <v>38452</v>
      </c>
      <c r="L69" t="s">
        <v>10</v>
      </c>
      <c r="M69" s="3">
        <v>-6</v>
      </c>
      <c r="N69" s="2">
        <v>-15.942861162173479</v>
      </c>
    </row>
    <row r="70" spans="4:14" x14ac:dyDescent="0.15">
      <c r="D70" s="3"/>
      <c r="I70">
        <v>66</v>
      </c>
      <c r="J70" t="s">
        <v>8</v>
      </c>
      <c r="K70" s="1">
        <v>38353</v>
      </c>
      <c r="L70" t="s">
        <v>12</v>
      </c>
      <c r="M70" s="3">
        <v>84</v>
      </c>
      <c r="N70" s="2">
        <v>253.99061782802139</v>
      </c>
    </row>
    <row r="71" spans="4:14" x14ac:dyDescent="0.15">
      <c r="D71" s="3"/>
      <c r="I71">
        <v>67</v>
      </c>
      <c r="J71" t="s">
        <v>3</v>
      </c>
      <c r="K71" s="1">
        <v>38661</v>
      </c>
      <c r="L71" t="s">
        <v>9</v>
      </c>
      <c r="M71" s="3">
        <v>63</v>
      </c>
      <c r="N71" s="2">
        <v>191.36713896782123</v>
      </c>
    </row>
    <row r="72" spans="4:14" x14ac:dyDescent="0.15">
      <c r="D72" s="3"/>
      <c r="I72">
        <v>68</v>
      </c>
      <c r="J72" t="s">
        <v>4</v>
      </c>
      <c r="K72" s="1">
        <v>38914</v>
      </c>
      <c r="L72" t="s">
        <v>10</v>
      </c>
      <c r="M72" s="3">
        <v>0</v>
      </c>
      <c r="N72" s="2">
        <v>2.3682330895483967</v>
      </c>
    </row>
    <row r="73" spans="4:14" x14ac:dyDescent="0.15">
      <c r="D73" s="3"/>
      <c r="I73">
        <v>69</v>
      </c>
      <c r="J73" t="s">
        <v>1</v>
      </c>
      <c r="K73" s="1">
        <v>38375</v>
      </c>
      <c r="L73" t="s">
        <v>11</v>
      </c>
      <c r="M73" s="3">
        <v>73</v>
      </c>
      <c r="N73" s="2">
        <v>221.4068752836437</v>
      </c>
    </row>
    <row r="74" spans="4:14" x14ac:dyDescent="0.15">
      <c r="D74" s="3"/>
      <c r="I74">
        <v>70</v>
      </c>
      <c r="J74" t="s">
        <v>5</v>
      </c>
      <c r="K74" s="1">
        <v>38342</v>
      </c>
      <c r="L74" t="s">
        <v>11</v>
      </c>
      <c r="M74" s="3">
        <v>95</v>
      </c>
      <c r="N74" s="2">
        <v>287.05320060576679</v>
      </c>
    </row>
    <row r="75" spans="4:14" x14ac:dyDescent="0.15">
      <c r="D75" s="3"/>
      <c r="I75">
        <v>71</v>
      </c>
      <c r="J75" t="s">
        <v>6</v>
      </c>
      <c r="K75" s="1">
        <v>38672</v>
      </c>
      <c r="L75" t="s">
        <v>13</v>
      </c>
      <c r="M75" s="3">
        <v>93</v>
      </c>
      <c r="N75" s="2">
        <v>280.76798505156279</v>
      </c>
    </row>
    <row r="76" spans="4:14" x14ac:dyDescent="0.15">
      <c r="D76" s="3"/>
      <c r="I76">
        <v>72</v>
      </c>
      <c r="J76" t="s">
        <v>4</v>
      </c>
      <c r="K76" s="1">
        <v>38155</v>
      </c>
      <c r="L76" t="s">
        <v>13</v>
      </c>
      <c r="M76" s="3">
        <v>54</v>
      </c>
      <c r="N76" s="2">
        <v>163.86605406277587</v>
      </c>
    </row>
    <row r="77" spans="4:14" x14ac:dyDescent="0.15">
      <c r="D77" s="1"/>
      <c r="I77">
        <v>73</v>
      </c>
      <c r="J77" t="s">
        <v>1</v>
      </c>
      <c r="K77" s="1">
        <v>38529</v>
      </c>
      <c r="L77" t="s">
        <v>9</v>
      </c>
      <c r="M77" s="3">
        <v>33</v>
      </c>
      <c r="N77" s="2">
        <v>101.36706423848841</v>
      </c>
    </row>
    <row r="78" spans="4:14" x14ac:dyDescent="0.15">
      <c r="D78" s="1"/>
      <c r="I78">
        <v>74</v>
      </c>
      <c r="J78" t="s">
        <v>6</v>
      </c>
      <c r="K78" s="1">
        <v>38089</v>
      </c>
      <c r="L78" t="s">
        <v>12</v>
      </c>
      <c r="M78" s="3">
        <v>48</v>
      </c>
      <c r="N78" s="2">
        <v>145.83607322448287</v>
      </c>
    </row>
    <row r="79" spans="4:14" x14ac:dyDescent="0.15">
      <c r="D79" s="1"/>
      <c r="I79">
        <v>75</v>
      </c>
      <c r="J79" t="s">
        <v>0</v>
      </c>
      <c r="K79" s="1">
        <v>38375</v>
      </c>
      <c r="L79" t="s">
        <v>11</v>
      </c>
      <c r="M79" s="3">
        <v>-7</v>
      </c>
      <c r="N79" s="2">
        <v>-18.531454427544542</v>
      </c>
    </row>
    <row r="80" spans="4:14" x14ac:dyDescent="0.15">
      <c r="D80" s="1"/>
      <c r="I80">
        <v>76</v>
      </c>
      <c r="J80" t="s">
        <v>2</v>
      </c>
      <c r="K80" s="1">
        <v>38782</v>
      </c>
      <c r="L80" t="s">
        <v>9</v>
      </c>
      <c r="M80" s="3">
        <v>-2</v>
      </c>
      <c r="N80" s="2">
        <v>-3.941491558920891</v>
      </c>
    </row>
    <row r="81" spans="4:14" x14ac:dyDescent="0.15">
      <c r="D81" s="1"/>
      <c r="I81">
        <v>77</v>
      </c>
      <c r="J81" t="s">
        <v>1</v>
      </c>
      <c r="K81" s="1">
        <v>38001</v>
      </c>
      <c r="L81" t="s">
        <v>12</v>
      </c>
      <c r="M81" s="3">
        <v>27</v>
      </c>
      <c r="N81" s="2">
        <v>83.29090970219859</v>
      </c>
    </row>
    <row r="82" spans="4:14" x14ac:dyDescent="0.15">
      <c r="D82" s="1"/>
      <c r="I82">
        <v>78</v>
      </c>
      <c r="J82" t="s">
        <v>5</v>
      </c>
      <c r="K82" s="1">
        <v>39068</v>
      </c>
      <c r="L82" t="s">
        <v>9</v>
      </c>
      <c r="M82" s="3">
        <v>56</v>
      </c>
      <c r="N82" s="2">
        <v>170.23780299763459</v>
      </c>
    </row>
    <row r="83" spans="4:14" x14ac:dyDescent="0.15">
      <c r="D83" s="1"/>
      <c r="I83">
        <v>79</v>
      </c>
      <c r="J83" t="s">
        <v>1</v>
      </c>
      <c r="K83" s="1">
        <v>38397</v>
      </c>
      <c r="L83" t="s">
        <v>12</v>
      </c>
      <c r="M83" s="3">
        <v>70</v>
      </c>
      <c r="N83" s="2">
        <v>212.29242314468692</v>
      </c>
    </row>
    <row r="84" spans="4:14" x14ac:dyDescent="0.15">
      <c r="D84" s="1"/>
      <c r="I84">
        <v>80</v>
      </c>
      <c r="J84" t="s">
        <v>0</v>
      </c>
      <c r="K84" s="1">
        <v>38441</v>
      </c>
      <c r="L84" t="s">
        <v>12</v>
      </c>
      <c r="M84" s="3">
        <v>16</v>
      </c>
      <c r="N84" s="2">
        <v>49.457645878335306</v>
      </c>
    </row>
    <row r="85" spans="4:14" x14ac:dyDescent="0.15">
      <c r="D85" s="1"/>
      <c r="I85">
        <v>81</v>
      </c>
      <c r="J85" t="s">
        <v>0</v>
      </c>
      <c r="K85" s="1">
        <v>38727</v>
      </c>
      <c r="L85" t="s">
        <v>10</v>
      </c>
      <c r="M85" s="3">
        <v>69</v>
      </c>
      <c r="N85" s="2">
        <v>208.68512958069783</v>
      </c>
    </row>
    <row r="86" spans="4:14" x14ac:dyDescent="0.15">
      <c r="D86" s="1"/>
      <c r="I86">
        <v>82</v>
      </c>
      <c r="J86" t="s">
        <v>2</v>
      </c>
      <c r="K86" s="1">
        <v>38562</v>
      </c>
      <c r="L86" t="s">
        <v>9</v>
      </c>
      <c r="M86" s="3">
        <v>67</v>
      </c>
      <c r="N86" s="2">
        <v>203.01428430380912</v>
      </c>
    </row>
    <row r="87" spans="4:14" x14ac:dyDescent="0.15">
      <c r="D87" s="1"/>
      <c r="I87">
        <v>83</v>
      </c>
      <c r="J87" t="s">
        <v>7</v>
      </c>
      <c r="K87" s="1">
        <v>38298</v>
      </c>
      <c r="L87" t="s">
        <v>9</v>
      </c>
      <c r="M87" s="3">
        <v>82</v>
      </c>
      <c r="N87" s="2">
        <v>248.09860782564255</v>
      </c>
    </row>
    <row r="88" spans="4:14" x14ac:dyDescent="0.15">
      <c r="D88" s="1"/>
      <c r="I88">
        <v>84</v>
      </c>
      <c r="J88" t="s">
        <v>6</v>
      </c>
      <c r="K88" s="1">
        <v>38991</v>
      </c>
      <c r="L88" t="s">
        <v>11</v>
      </c>
      <c r="M88" s="3">
        <v>73</v>
      </c>
      <c r="N88" s="2">
        <v>221.4762294351379</v>
      </c>
    </row>
    <row r="89" spans="4:14" x14ac:dyDescent="0.15">
      <c r="D89" s="1"/>
      <c r="I89">
        <v>85</v>
      </c>
      <c r="J89" t="s">
        <v>7</v>
      </c>
      <c r="K89" s="1">
        <v>38034</v>
      </c>
      <c r="L89" t="s">
        <v>9</v>
      </c>
      <c r="M89" s="3">
        <v>80</v>
      </c>
      <c r="N89" s="2">
        <v>241.26239073863908</v>
      </c>
    </row>
    <row r="90" spans="4:14" x14ac:dyDescent="0.15">
      <c r="D90" s="1"/>
      <c r="I90">
        <v>86</v>
      </c>
      <c r="J90" t="s">
        <v>0</v>
      </c>
      <c r="K90" s="1">
        <v>38573</v>
      </c>
      <c r="L90" t="s">
        <v>11</v>
      </c>
      <c r="M90" s="3">
        <v>-2</v>
      </c>
      <c r="N90" s="2">
        <v>-4.2379405606125751</v>
      </c>
    </row>
    <row r="91" spans="4:14" x14ac:dyDescent="0.15">
      <c r="D91" s="1"/>
      <c r="I91">
        <v>87</v>
      </c>
      <c r="J91" t="s">
        <v>5</v>
      </c>
      <c r="K91" s="1">
        <v>38595</v>
      </c>
      <c r="L91" t="s">
        <v>11</v>
      </c>
      <c r="M91" s="3">
        <v>5</v>
      </c>
      <c r="N91" s="2">
        <v>17.026058044096466</v>
      </c>
    </row>
    <row r="92" spans="4:14" x14ac:dyDescent="0.15">
      <c r="D92" s="1"/>
      <c r="I92">
        <v>88</v>
      </c>
      <c r="J92" t="s">
        <v>4</v>
      </c>
      <c r="K92" s="1">
        <v>38705</v>
      </c>
      <c r="L92" t="s">
        <v>11</v>
      </c>
      <c r="M92" s="3">
        <v>26</v>
      </c>
      <c r="N92" s="2">
        <v>80.296764498097943</v>
      </c>
    </row>
    <row r="93" spans="4:14" x14ac:dyDescent="0.15">
      <c r="D93" s="1"/>
      <c r="I93">
        <v>89</v>
      </c>
      <c r="J93" t="s">
        <v>7</v>
      </c>
      <c r="K93" s="1">
        <v>38430</v>
      </c>
      <c r="L93" t="s">
        <v>9</v>
      </c>
      <c r="M93" s="3">
        <v>1</v>
      </c>
      <c r="N93" s="2">
        <v>5.0101440126936883</v>
      </c>
    </row>
    <row r="94" spans="4:14" x14ac:dyDescent="0.15">
      <c r="D94" s="1"/>
      <c r="I94">
        <v>90</v>
      </c>
      <c r="J94" t="s">
        <v>7</v>
      </c>
      <c r="K94" s="1">
        <v>38881</v>
      </c>
      <c r="L94" t="s">
        <v>13</v>
      </c>
      <c r="M94" s="3">
        <v>-3</v>
      </c>
      <c r="N94" s="2">
        <v>-7.6150918857367635</v>
      </c>
    </row>
    <row r="95" spans="4:14" x14ac:dyDescent="0.15">
      <c r="D95" s="1"/>
      <c r="I95">
        <v>91</v>
      </c>
      <c r="J95" t="s">
        <v>8</v>
      </c>
      <c r="K95" s="1">
        <v>38947</v>
      </c>
      <c r="L95" t="s">
        <v>11</v>
      </c>
      <c r="M95" s="3">
        <v>83</v>
      </c>
      <c r="N95" s="2">
        <v>251.18350564763173</v>
      </c>
    </row>
    <row r="96" spans="4:14" x14ac:dyDescent="0.15">
      <c r="D96" s="1"/>
      <c r="I96">
        <v>92</v>
      </c>
      <c r="J96" t="s">
        <v>0</v>
      </c>
      <c r="K96" s="1">
        <v>38133</v>
      </c>
      <c r="L96" t="s">
        <v>12</v>
      </c>
      <c r="M96" s="3">
        <v>33</v>
      </c>
      <c r="N96" s="2">
        <v>100.32795234701418</v>
      </c>
    </row>
    <row r="97" spans="4:14" x14ac:dyDescent="0.15">
      <c r="D97" s="1"/>
      <c r="I97">
        <v>93</v>
      </c>
      <c r="J97" t="s">
        <v>4</v>
      </c>
      <c r="K97" s="1">
        <v>38089</v>
      </c>
      <c r="L97" t="s">
        <v>9</v>
      </c>
      <c r="M97" s="3">
        <v>62</v>
      </c>
      <c r="N97" s="2">
        <v>188.06461550204614</v>
      </c>
    </row>
    <row r="98" spans="4:14" x14ac:dyDescent="0.15">
      <c r="D98" s="1"/>
      <c r="I98">
        <v>94</v>
      </c>
      <c r="J98" t="s">
        <v>2</v>
      </c>
      <c r="K98" s="1">
        <v>38848</v>
      </c>
      <c r="L98" t="s">
        <v>11</v>
      </c>
      <c r="M98" s="3">
        <v>58</v>
      </c>
      <c r="N98" s="2">
        <v>176.47069512712616</v>
      </c>
    </row>
    <row r="99" spans="4:14" x14ac:dyDescent="0.15">
      <c r="D99" s="1"/>
      <c r="I99">
        <v>95</v>
      </c>
      <c r="J99" t="s">
        <v>5</v>
      </c>
      <c r="K99" s="1">
        <v>38584</v>
      </c>
      <c r="L99" t="s">
        <v>9</v>
      </c>
      <c r="M99" s="3">
        <v>28</v>
      </c>
      <c r="N99" s="2">
        <v>85.544260264222203</v>
      </c>
    </row>
    <row r="100" spans="4:14" x14ac:dyDescent="0.15">
      <c r="D100" s="1"/>
      <c r="I100">
        <v>96</v>
      </c>
      <c r="J100" t="s">
        <v>0</v>
      </c>
      <c r="K100" s="1">
        <v>39068</v>
      </c>
      <c r="L100" t="s">
        <v>10</v>
      </c>
      <c r="M100" s="3">
        <v>33</v>
      </c>
      <c r="N100" s="2">
        <v>100.68612237181482</v>
      </c>
    </row>
    <row r="101" spans="4:14" x14ac:dyDescent="0.15">
      <c r="D101" s="1"/>
      <c r="I101">
        <v>97</v>
      </c>
      <c r="J101" t="s">
        <v>1</v>
      </c>
      <c r="K101" s="1">
        <v>39046</v>
      </c>
      <c r="L101" t="s">
        <v>9</v>
      </c>
      <c r="M101" s="3">
        <v>92</v>
      </c>
      <c r="N101" s="2">
        <v>278.15933854048899</v>
      </c>
    </row>
    <row r="102" spans="4:14" x14ac:dyDescent="0.15">
      <c r="D102" s="1"/>
      <c r="I102">
        <v>98</v>
      </c>
      <c r="J102" t="s">
        <v>0</v>
      </c>
      <c r="K102" s="1">
        <v>38089</v>
      </c>
      <c r="L102" t="s">
        <v>10</v>
      </c>
      <c r="M102" s="3">
        <v>92</v>
      </c>
      <c r="N102" s="2">
        <v>277.53974563422275</v>
      </c>
    </row>
    <row r="103" spans="4:14" x14ac:dyDescent="0.15">
      <c r="D103" s="1"/>
      <c r="I103">
        <v>99</v>
      </c>
      <c r="J103" t="s">
        <v>2</v>
      </c>
      <c r="K103" s="1">
        <v>38738</v>
      </c>
      <c r="L103" t="s">
        <v>10</v>
      </c>
      <c r="M103" s="3">
        <v>75</v>
      </c>
      <c r="N103" s="2">
        <v>226.73977333901354</v>
      </c>
    </row>
    <row r="104" spans="4:14" x14ac:dyDescent="0.15">
      <c r="D104" s="1"/>
      <c r="I104">
        <v>100</v>
      </c>
      <c r="J104" t="s">
        <v>8</v>
      </c>
      <c r="K104" s="1">
        <v>38628</v>
      </c>
      <c r="L104" t="s">
        <v>11</v>
      </c>
      <c r="M104" s="3">
        <v>74</v>
      </c>
      <c r="N104" s="2">
        <v>224.23346975523705</v>
      </c>
    </row>
    <row r="105" spans="4:14" x14ac:dyDescent="0.15">
      <c r="D105" s="1"/>
      <c r="I105">
        <v>101</v>
      </c>
      <c r="J105" t="s">
        <v>4</v>
      </c>
      <c r="K105" s="1">
        <v>38001</v>
      </c>
      <c r="L105" t="s">
        <v>9</v>
      </c>
      <c r="M105" s="3">
        <v>67</v>
      </c>
      <c r="N105" s="2">
        <v>202.45009266432331</v>
      </c>
    </row>
    <row r="106" spans="4:14" x14ac:dyDescent="0.15">
      <c r="D106" s="1"/>
      <c r="I106">
        <v>102</v>
      </c>
      <c r="J106" t="s">
        <v>1</v>
      </c>
      <c r="K106" s="1">
        <v>38210</v>
      </c>
      <c r="L106" t="s">
        <v>9</v>
      </c>
      <c r="M106" s="3">
        <v>16</v>
      </c>
      <c r="N106" s="2">
        <v>49.450018506623742</v>
      </c>
    </row>
    <row r="107" spans="4:14" x14ac:dyDescent="0.15">
      <c r="D107" s="1"/>
      <c r="I107">
        <v>103</v>
      </c>
      <c r="J107" t="s">
        <v>3</v>
      </c>
      <c r="K107" s="1">
        <v>38485</v>
      </c>
      <c r="L107" t="s">
        <v>9</v>
      </c>
      <c r="M107" s="3">
        <v>90</v>
      </c>
      <c r="N107" s="2">
        <v>272.33991590998778</v>
      </c>
    </row>
    <row r="108" spans="4:14" x14ac:dyDescent="0.15">
      <c r="D108" s="1"/>
      <c r="I108">
        <v>104</v>
      </c>
      <c r="J108" t="s">
        <v>0</v>
      </c>
      <c r="K108" s="1">
        <v>38793</v>
      </c>
      <c r="L108" t="s">
        <v>13</v>
      </c>
      <c r="M108" s="3">
        <v>-8</v>
      </c>
      <c r="N108" s="2">
        <v>-22.10755433572842</v>
      </c>
    </row>
    <row r="109" spans="4:14" x14ac:dyDescent="0.15">
      <c r="D109" s="1"/>
      <c r="I109">
        <v>105</v>
      </c>
      <c r="J109" t="s">
        <v>1</v>
      </c>
      <c r="K109" s="1">
        <v>38243</v>
      </c>
      <c r="L109" t="s">
        <v>13</v>
      </c>
      <c r="M109" s="3">
        <v>51</v>
      </c>
      <c r="N109" s="2">
        <v>155.29818889700317</v>
      </c>
    </row>
    <row r="110" spans="4:14" x14ac:dyDescent="0.15">
      <c r="D110" s="1"/>
      <c r="I110">
        <v>106</v>
      </c>
      <c r="J110" t="s">
        <v>0</v>
      </c>
      <c r="K110" s="1">
        <v>38441</v>
      </c>
      <c r="L110" t="s">
        <v>9</v>
      </c>
      <c r="M110" s="3">
        <v>-7</v>
      </c>
      <c r="N110" s="2">
        <v>-19.532896832828285</v>
      </c>
    </row>
    <row r="111" spans="4:14" x14ac:dyDescent="0.15">
      <c r="D111" s="1"/>
      <c r="I111">
        <v>107</v>
      </c>
      <c r="J111" t="s">
        <v>5</v>
      </c>
      <c r="K111" s="1">
        <v>38067</v>
      </c>
      <c r="L111" t="s">
        <v>10</v>
      </c>
      <c r="M111" s="3">
        <v>9</v>
      </c>
      <c r="N111" s="2">
        <v>29.277821643264524</v>
      </c>
    </row>
    <row r="112" spans="4:14" x14ac:dyDescent="0.15">
      <c r="D112" s="1"/>
      <c r="I112">
        <v>108</v>
      </c>
      <c r="J112" t="s">
        <v>7</v>
      </c>
      <c r="K112" s="1">
        <v>38595</v>
      </c>
      <c r="L112" t="s">
        <v>10</v>
      </c>
      <c r="M112" s="3">
        <v>-10</v>
      </c>
      <c r="N112" s="2">
        <v>-28.406748282006184</v>
      </c>
    </row>
    <row r="113" spans="4:14" x14ac:dyDescent="0.15">
      <c r="D113" s="1"/>
      <c r="I113">
        <v>109</v>
      </c>
      <c r="J113" t="s">
        <v>6</v>
      </c>
      <c r="K113" s="1">
        <v>38914</v>
      </c>
      <c r="L113" t="s">
        <v>9</v>
      </c>
      <c r="M113" s="3">
        <v>10</v>
      </c>
      <c r="N113" s="2">
        <v>32.113204788074981</v>
      </c>
    </row>
    <row r="114" spans="4:14" x14ac:dyDescent="0.15">
      <c r="I114">
        <v>110</v>
      </c>
      <c r="J114" t="s">
        <v>6</v>
      </c>
      <c r="K114" s="1">
        <v>38419</v>
      </c>
      <c r="L114" t="s">
        <v>12</v>
      </c>
      <c r="M114" s="3">
        <v>35</v>
      </c>
      <c r="N114" s="2">
        <v>107.58710427119863</v>
      </c>
    </row>
    <row r="115" spans="4:14" x14ac:dyDescent="0.15">
      <c r="I115">
        <v>111</v>
      </c>
      <c r="J115" t="s">
        <v>7</v>
      </c>
      <c r="K115" s="1">
        <v>38265</v>
      </c>
      <c r="L115" t="s">
        <v>12</v>
      </c>
      <c r="M115" s="3">
        <v>81</v>
      </c>
      <c r="N115" s="2">
        <v>244.46099351680689</v>
      </c>
    </row>
    <row r="116" spans="4:14" x14ac:dyDescent="0.15">
      <c r="I116">
        <v>112</v>
      </c>
      <c r="J116" t="s">
        <v>7</v>
      </c>
      <c r="K116" s="1">
        <v>38309</v>
      </c>
      <c r="L116" t="s">
        <v>12</v>
      </c>
      <c r="M116" s="3">
        <v>38</v>
      </c>
      <c r="N116" s="2">
        <v>115.86487308982943</v>
      </c>
    </row>
    <row r="117" spans="4:14" x14ac:dyDescent="0.15">
      <c r="I117">
        <v>113</v>
      </c>
      <c r="J117" t="s">
        <v>5</v>
      </c>
      <c r="K117" s="1">
        <v>39057</v>
      </c>
      <c r="L117" t="s">
        <v>12</v>
      </c>
      <c r="M117" s="3">
        <v>26</v>
      </c>
      <c r="N117" s="2">
        <v>80.488645084091601</v>
      </c>
    </row>
    <row r="118" spans="4:14" x14ac:dyDescent="0.15">
      <c r="I118">
        <v>114</v>
      </c>
      <c r="J118" t="s">
        <v>8</v>
      </c>
      <c r="K118" s="1">
        <v>38617</v>
      </c>
      <c r="L118" t="s">
        <v>13</v>
      </c>
      <c r="M118" s="3">
        <v>77</v>
      </c>
      <c r="N118" s="2">
        <v>233.33103169462888</v>
      </c>
    </row>
    <row r="119" spans="4:14" x14ac:dyDescent="0.15">
      <c r="I119">
        <v>115</v>
      </c>
      <c r="J119" t="s">
        <v>5</v>
      </c>
      <c r="K119" s="1">
        <v>38738</v>
      </c>
      <c r="L119" t="s">
        <v>9</v>
      </c>
      <c r="M119" s="3">
        <v>39</v>
      </c>
      <c r="N119" s="2">
        <v>118.62706142640471</v>
      </c>
    </row>
    <row r="120" spans="4:14" x14ac:dyDescent="0.15">
      <c r="I120">
        <v>116</v>
      </c>
      <c r="J120" t="s">
        <v>4</v>
      </c>
      <c r="K120" s="1">
        <v>38892</v>
      </c>
      <c r="L120" t="s">
        <v>11</v>
      </c>
      <c r="M120" s="3">
        <v>22</v>
      </c>
      <c r="N120" s="2">
        <v>68.07066358826728</v>
      </c>
    </row>
    <row r="121" spans="4:14" x14ac:dyDescent="0.15">
      <c r="I121">
        <v>117</v>
      </c>
      <c r="J121" t="s">
        <v>4</v>
      </c>
      <c r="K121" s="1">
        <v>38870</v>
      </c>
      <c r="L121" t="s">
        <v>9</v>
      </c>
      <c r="M121" s="3">
        <v>68</v>
      </c>
      <c r="N121" s="2">
        <v>205.76676002797973</v>
      </c>
    </row>
    <row r="122" spans="4:14" x14ac:dyDescent="0.15">
      <c r="I122">
        <v>118</v>
      </c>
      <c r="J122" t="s">
        <v>7</v>
      </c>
      <c r="K122" s="1">
        <v>38496</v>
      </c>
      <c r="L122" t="s">
        <v>9</v>
      </c>
      <c r="M122" s="3">
        <v>59</v>
      </c>
      <c r="N122" s="2">
        <v>178.71308198822226</v>
      </c>
    </row>
    <row r="123" spans="4:14" x14ac:dyDescent="0.15">
      <c r="I123">
        <v>119</v>
      </c>
      <c r="J123" t="s">
        <v>2</v>
      </c>
      <c r="K123" s="1">
        <v>38859</v>
      </c>
      <c r="L123" t="s">
        <v>11</v>
      </c>
      <c r="M123" s="3">
        <v>20</v>
      </c>
      <c r="N123" s="2">
        <v>62.366566165716954</v>
      </c>
    </row>
    <row r="124" spans="4:14" x14ac:dyDescent="0.15">
      <c r="I124">
        <v>120</v>
      </c>
      <c r="J124" t="s">
        <v>3</v>
      </c>
      <c r="K124" s="1">
        <v>38650</v>
      </c>
      <c r="L124" t="s">
        <v>12</v>
      </c>
      <c r="M124" s="3">
        <v>61</v>
      </c>
      <c r="N124" s="2">
        <v>184.56247310465258</v>
      </c>
    </row>
    <row r="125" spans="4:14" x14ac:dyDescent="0.15">
      <c r="I125">
        <v>121</v>
      </c>
      <c r="J125" t="s">
        <v>4</v>
      </c>
      <c r="K125" s="1">
        <v>38782</v>
      </c>
      <c r="L125" t="s">
        <v>9</v>
      </c>
      <c r="M125" s="3">
        <v>30</v>
      </c>
      <c r="N125" s="2">
        <v>92.434422469644105</v>
      </c>
    </row>
    <row r="126" spans="4:14" x14ac:dyDescent="0.15">
      <c r="I126">
        <v>122</v>
      </c>
      <c r="J126" t="s">
        <v>0</v>
      </c>
      <c r="K126" s="1">
        <v>38925</v>
      </c>
      <c r="L126" t="s">
        <v>12</v>
      </c>
      <c r="M126" s="3">
        <v>10</v>
      </c>
      <c r="N126" s="2">
        <v>32.298727574185413</v>
      </c>
    </row>
    <row r="127" spans="4:14" x14ac:dyDescent="0.15">
      <c r="I127">
        <v>123</v>
      </c>
      <c r="J127" t="s">
        <v>4</v>
      </c>
      <c r="K127" s="1">
        <v>38837</v>
      </c>
      <c r="L127" t="s">
        <v>11</v>
      </c>
      <c r="M127" s="3">
        <v>72</v>
      </c>
      <c r="N127" s="2">
        <v>217.45289850686984</v>
      </c>
    </row>
    <row r="128" spans="4:14" x14ac:dyDescent="0.15">
      <c r="I128">
        <v>124</v>
      </c>
      <c r="J128" t="s">
        <v>6</v>
      </c>
      <c r="K128" s="1">
        <v>38727</v>
      </c>
      <c r="L128" t="s">
        <v>11</v>
      </c>
      <c r="M128" s="3">
        <v>57</v>
      </c>
      <c r="N128" s="2">
        <v>173.36376703616165</v>
      </c>
    </row>
    <row r="129" spans="9:14" x14ac:dyDescent="0.15">
      <c r="I129">
        <v>125</v>
      </c>
      <c r="J129" t="s">
        <v>3</v>
      </c>
      <c r="K129" s="1">
        <v>38672</v>
      </c>
      <c r="L129" t="s">
        <v>10</v>
      </c>
      <c r="M129" s="3">
        <v>41</v>
      </c>
      <c r="N129" s="2">
        <v>124.3880808412182</v>
      </c>
    </row>
    <row r="130" spans="9:14" x14ac:dyDescent="0.15">
      <c r="I130">
        <v>126</v>
      </c>
      <c r="J130" t="s">
        <v>4</v>
      </c>
      <c r="K130" s="1">
        <v>38100</v>
      </c>
      <c r="L130" t="s">
        <v>11</v>
      </c>
      <c r="M130" s="3">
        <v>54</v>
      </c>
      <c r="N130" s="2">
        <v>163.7455521062605</v>
      </c>
    </row>
    <row r="131" spans="9:14" x14ac:dyDescent="0.15">
      <c r="I131">
        <v>127</v>
      </c>
      <c r="J131" t="s">
        <v>5</v>
      </c>
      <c r="K131" s="1">
        <v>38540</v>
      </c>
      <c r="L131" t="s">
        <v>13</v>
      </c>
      <c r="M131" s="3">
        <v>9</v>
      </c>
      <c r="N131" s="2">
        <v>29.259949674062039</v>
      </c>
    </row>
    <row r="132" spans="9:14" x14ac:dyDescent="0.15">
      <c r="I132">
        <v>128</v>
      </c>
      <c r="J132" t="s">
        <v>7</v>
      </c>
      <c r="K132" s="1">
        <v>38485</v>
      </c>
      <c r="L132" t="s">
        <v>10</v>
      </c>
      <c r="M132" s="3">
        <v>1</v>
      </c>
      <c r="N132" s="2">
        <v>5.0062586848309145</v>
      </c>
    </row>
    <row r="133" spans="9:14" x14ac:dyDescent="0.15">
      <c r="I133">
        <v>129</v>
      </c>
      <c r="J133" t="s">
        <v>4</v>
      </c>
      <c r="K133" s="1">
        <v>38760</v>
      </c>
      <c r="L133" t="s">
        <v>12</v>
      </c>
      <c r="M133" s="3">
        <v>-10</v>
      </c>
      <c r="N133" s="2">
        <v>-28.888600496770302</v>
      </c>
    </row>
    <row r="134" spans="9:14" x14ac:dyDescent="0.15">
      <c r="I134">
        <v>130</v>
      </c>
      <c r="J134" t="s">
        <v>6</v>
      </c>
      <c r="K134" s="1">
        <v>39035</v>
      </c>
      <c r="L134" t="s">
        <v>9</v>
      </c>
      <c r="M134" s="3">
        <v>-9</v>
      </c>
      <c r="N134" s="2">
        <v>-25.059711277411697</v>
      </c>
    </row>
    <row r="135" spans="9:14" x14ac:dyDescent="0.15">
      <c r="I135">
        <v>131</v>
      </c>
      <c r="J135" t="s">
        <v>0</v>
      </c>
      <c r="K135" s="1">
        <v>38320</v>
      </c>
      <c r="L135" t="s">
        <v>12</v>
      </c>
      <c r="M135" s="3">
        <v>56</v>
      </c>
      <c r="N135" s="2">
        <v>168.8685012955201</v>
      </c>
    </row>
    <row r="136" spans="9:14" x14ac:dyDescent="0.15">
      <c r="I136">
        <v>132</v>
      </c>
      <c r="J136" t="s">
        <v>7</v>
      </c>
      <c r="K136" s="1">
        <v>38067</v>
      </c>
      <c r="L136" t="s">
        <v>13</v>
      </c>
      <c r="M136" s="3">
        <v>28</v>
      </c>
      <c r="N136" s="2">
        <v>85.600623651403808</v>
      </c>
    </row>
    <row r="137" spans="9:14" x14ac:dyDescent="0.15">
      <c r="I137">
        <v>133</v>
      </c>
      <c r="J137" t="s">
        <v>8</v>
      </c>
      <c r="K137" s="1">
        <v>38177</v>
      </c>
      <c r="L137" t="s">
        <v>12</v>
      </c>
      <c r="M137" s="3">
        <v>11</v>
      </c>
      <c r="N137" s="2">
        <v>34.417378586902672</v>
      </c>
    </row>
    <row r="138" spans="9:14" x14ac:dyDescent="0.15">
      <c r="I138">
        <v>134</v>
      </c>
      <c r="J138" t="s">
        <v>1</v>
      </c>
      <c r="K138" s="1">
        <v>39068</v>
      </c>
      <c r="L138" t="s">
        <v>10</v>
      </c>
      <c r="M138" s="3">
        <v>11</v>
      </c>
      <c r="N138" s="2">
        <v>34.910086692815099</v>
      </c>
    </row>
    <row r="139" spans="9:14" x14ac:dyDescent="0.15">
      <c r="I139">
        <v>135</v>
      </c>
      <c r="J139" t="s">
        <v>1</v>
      </c>
      <c r="K139" s="1">
        <v>38397</v>
      </c>
      <c r="L139" t="s">
        <v>11</v>
      </c>
      <c r="M139" s="3">
        <v>67</v>
      </c>
      <c r="N139" s="2">
        <v>202.86608183653496</v>
      </c>
    </row>
    <row r="140" spans="9:14" x14ac:dyDescent="0.15">
      <c r="I140">
        <v>136</v>
      </c>
      <c r="J140" t="s">
        <v>2</v>
      </c>
      <c r="K140" s="1">
        <v>38441</v>
      </c>
      <c r="L140" t="s">
        <v>10</v>
      </c>
      <c r="M140" s="3">
        <v>10</v>
      </c>
      <c r="N140" s="2">
        <v>31.43203475838104</v>
      </c>
    </row>
    <row r="141" spans="9:14" x14ac:dyDescent="0.15">
      <c r="I141">
        <v>137</v>
      </c>
      <c r="J141" t="s">
        <v>5</v>
      </c>
      <c r="K141" s="1">
        <v>38287</v>
      </c>
      <c r="L141" t="s">
        <v>9</v>
      </c>
      <c r="M141" s="3">
        <v>40</v>
      </c>
      <c r="N141" s="2">
        <v>121.94725640981379</v>
      </c>
    </row>
    <row r="142" spans="9:14" x14ac:dyDescent="0.15">
      <c r="I142">
        <v>138</v>
      </c>
      <c r="J142" t="s">
        <v>2</v>
      </c>
      <c r="K142" s="1">
        <v>38540</v>
      </c>
      <c r="L142" t="s">
        <v>12</v>
      </c>
      <c r="M142" s="3">
        <v>77</v>
      </c>
      <c r="N142" s="2">
        <v>233.07983567827679</v>
      </c>
    </row>
    <row r="143" spans="9:14" x14ac:dyDescent="0.15">
      <c r="I143">
        <v>139</v>
      </c>
      <c r="J143" t="s">
        <v>8</v>
      </c>
      <c r="K143" s="1">
        <v>38496</v>
      </c>
      <c r="L143" t="s">
        <v>13</v>
      </c>
      <c r="M143" s="3">
        <v>50</v>
      </c>
      <c r="N143" s="2">
        <v>152.04318524136269</v>
      </c>
    </row>
    <row r="144" spans="9:14" x14ac:dyDescent="0.15">
      <c r="I144">
        <v>140</v>
      </c>
      <c r="J144" t="s">
        <v>0</v>
      </c>
      <c r="K144" s="1">
        <v>38166</v>
      </c>
      <c r="L144" t="s">
        <v>11</v>
      </c>
      <c r="M144" s="3">
        <v>80</v>
      </c>
      <c r="N144" s="2">
        <v>242.49550041476004</v>
      </c>
    </row>
    <row r="145" spans="9:14" x14ac:dyDescent="0.15">
      <c r="I145">
        <v>141</v>
      </c>
      <c r="J145" t="s">
        <v>0</v>
      </c>
      <c r="K145" s="1">
        <v>39079</v>
      </c>
      <c r="L145" t="s">
        <v>11</v>
      </c>
      <c r="M145" s="3">
        <v>83</v>
      </c>
      <c r="N145" s="2">
        <v>250.79460647762514</v>
      </c>
    </row>
    <row r="146" spans="9:14" x14ac:dyDescent="0.15">
      <c r="I146">
        <v>142</v>
      </c>
      <c r="J146" t="s">
        <v>8</v>
      </c>
      <c r="K146" s="1">
        <v>38749</v>
      </c>
      <c r="L146" t="s">
        <v>10</v>
      </c>
      <c r="M146" s="3">
        <v>-4</v>
      </c>
      <c r="N146" s="2">
        <v>-9.4996327629453567</v>
      </c>
    </row>
    <row r="147" spans="9:14" x14ac:dyDescent="0.15">
      <c r="I147">
        <v>143</v>
      </c>
      <c r="J147" t="s">
        <v>2</v>
      </c>
      <c r="K147" s="1">
        <v>38386</v>
      </c>
      <c r="L147" t="s">
        <v>9</v>
      </c>
      <c r="M147" s="3">
        <v>46</v>
      </c>
      <c r="N147" s="2">
        <v>139.75509706516939</v>
      </c>
    </row>
    <row r="148" spans="9:14" x14ac:dyDescent="0.15">
      <c r="I148">
        <v>144</v>
      </c>
      <c r="J148" t="s">
        <v>6</v>
      </c>
      <c r="K148" s="1">
        <v>39013</v>
      </c>
      <c r="L148" t="s">
        <v>12</v>
      </c>
      <c r="M148" s="3">
        <v>55</v>
      </c>
      <c r="N148" s="2">
        <v>167.19317791229159</v>
      </c>
    </row>
    <row r="149" spans="9:14" x14ac:dyDescent="0.15">
      <c r="I149">
        <v>145</v>
      </c>
      <c r="J149" t="s">
        <v>7</v>
      </c>
      <c r="K149" s="1">
        <v>38254</v>
      </c>
      <c r="L149" t="s">
        <v>12</v>
      </c>
      <c r="M149" s="3">
        <v>89</v>
      </c>
      <c r="N149" s="2">
        <v>269.40466549843933</v>
      </c>
    </row>
    <row r="150" spans="9:14" x14ac:dyDescent="0.15">
      <c r="I150">
        <v>146</v>
      </c>
      <c r="J150" t="s">
        <v>5</v>
      </c>
      <c r="K150" s="1">
        <v>38540</v>
      </c>
      <c r="L150" t="s">
        <v>11</v>
      </c>
      <c r="M150" s="3">
        <v>59</v>
      </c>
      <c r="N150" s="2">
        <v>179.11590007622482</v>
      </c>
    </row>
    <row r="151" spans="9:14" x14ac:dyDescent="0.15">
      <c r="I151">
        <v>147</v>
      </c>
      <c r="J151" t="s">
        <v>5</v>
      </c>
      <c r="K151" s="1">
        <v>38419</v>
      </c>
      <c r="L151" t="s">
        <v>13</v>
      </c>
      <c r="M151" s="3">
        <v>90</v>
      </c>
      <c r="N151" s="2">
        <v>271.75315679180818</v>
      </c>
    </row>
    <row r="152" spans="9:14" x14ac:dyDescent="0.15">
      <c r="I152">
        <v>148</v>
      </c>
      <c r="J152" t="s">
        <v>6</v>
      </c>
      <c r="K152" s="1">
        <v>39024</v>
      </c>
      <c r="L152" t="s">
        <v>13</v>
      </c>
      <c r="M152" s="3">
        <v>17</v>
      </c>
      <c r="N152" s="2">
        <v>53.665884026524566</v>
      </c>
    </row>
    <row r="153" spans="9:14" x14ac:dyDescent="0.15">
      <c r="I153">
        <v>149</v>
      </c>
      <c r="J153" t="s">
        <v>7</v>
      </c>
      <c r="K153" s="1">
        <v>38419</v>
      </c>
      <c r="L153" t="s">
        <v>13</v>
      </c>
      <c r="M153" s="3">
        <v>37</v>
      </c>
      <c r="N153" s="2">
        <v>113.6496958349757</v>
      </c>
    </row>
    <row r="154" spans="9:14" x14ac:dyDescent="0.15">
      <c r="I154">
        <v>150</v>
      </c>
      <c r="J154" t="s">
        <v>1</v>
      </c>
      <c r="K154" s="1">
        <v>38793</v>
      </c>
      <c r="L154" t="s">
        <v>9</v>
      </c>
      <c r="M154" s="3">
        <v>-4</v>
      </c>
      <c r="N154" s="2">
        <v>-9.4240327280666669</v>
      </c>
    </row>
    <row r="155" spans="9:14" x14ac:dyDescent="0.15">
      <c r="I155">
        <v>151</v>
      </c>
      <c r="J155" t="s">
        <v>5</v>
      </c>
      <c r="K155" s="1">
        <v>38540</v>
      </c>
      <c r="L155" t="s">
        <v>10</v>
      </c>
      <c r="M155" s="3">
        <v>-8</v>
      </c>
      <c r="N155" s="2">
        <v>-22.376386657781136</v>
      </c>
    </row>
    <row r="156" spans="9:14" x14ac:dyDescent="0.15">
      <c r="I156">
        <v>152</v>
      </c>
      <c r="J156" t="s">
        <v>4</v>
      </c>
      <c r="K156" s="1">
        <v>38232</v>
      </c>
      <c r="L156" t="s">
        <v>13</v>
      </c>
      <c r="M156" s="3">
        <v>6</v>
      </c>
      <c r="N156" s="2">
        <v>20.32160187847996</v>
      </c>
    </row>
    <row r="157" spans="9:14" x14ac:dyDescent="0.15">
      <c r="I157">
        <v>153</v>
      </c>
      <c r="J157" t="s">
        <v>7</v>
      </c>
      <c r="K157" s="1">
        <v>38276</v>
      </c>
      <c r="L157" t="s">
        <v>13</v>
      </c>
      <c r="M157" s="3">
        <v>63</v>
      </c>
      <c r="N157" s="2">
        <v>191.67996095772898</v>
      </c>
    </row>
    <row r="158" spans="9:14" x14ac:dyDescent="0.15">
      <c r="I158">
        <v>154</v>
      </c>
      <c r="J158" t="s">
        <v>0</v>
      </c>
      <c r="K158" s="1">
        <v>38210</v>
      </c>
      <c r="L158" t="s">
        <v>13</v>
      </c>
      <c r="M158" s="3">
        <v>16</v>
      </c>
      <c r="N158" s="2">
        <v>49.943726296074821</v>
      </c>
    </row>
    <row r="159" spans="9:14" x14ac:dyDescent="0.15">
      <c r="I159">
        <v>155</v>
      </c>
      <c r="J159" t="s">
        <v>8</v>
      </c>
      <c r="K159" s="1">
        <v>38386</v>
      </c>
      <c r="L159" t="s">
        <v>12</v>
      </c>
      <c r="M159" s="3">
        <v>22</v>
      </c>
      <c r="N159" s="2">
        <v>67.814347194557499</v>
      </c>
    </row>
    <row r="160" spans="9:14" x14ac:dyDescent="0.15">
      <c r="I160">
        <v>156</v>
      </c>
      <c r="J160" t="s">
        <v>5</v>
      </c>
      <c r="K160" s="1">
        <v>38716</v>
      </c>
      <c r="L160" t="s">
        <v>9</v>
      </c>
      <c r="M160" s="3">
        <v>81</v>
      </c>
      <c r="N160" s="2">
        <v>244.96866878935498</v>
      </c>
    </row>
    <row r="161" spans="9:14" x14ac:dyDescent="0.15">
      <c r="I161">
        <v>157</v>
      </c>
      <c r="J161" t="s">
        <v>5</v>
      </c>
      <c r="K161" s="1">
        <v>38606</v>
      </c>
      <c r="L161" t="s">
        <v>10</v>
      </c>
      <c r="M161" s="3">
        <v>85</v>
      </c>
      <c r="N161" s="2">
        <v>256.55696414737832</v>
      </c>
    </row>
    <row r="162" spans="9:14" x14ac:dyDescent="0.15">
      <c r="I162">
        <v>158</v>
      </c>
      <c r="J162" t="s">
        <v>0</v>
      </c>
      <c r="K162" s="1">
        <v>38122</v>
      </c>
      <c r="L162" t="s">
        <v>9</v>
      </c>
      <c r="M162" s="3">
        <v>-3</v>
      </c>
      <c r="N162" s="2">
        <v>-7.083148189481113</v>
      </c>
    </row>
    <row r="163" spans="9:14" x14ac:dyDescent="0.15">
      <c r="I163">
        <v>159</v>
      </c>
      <c r="J163" t="s">
        <v>5</v>
      </c>
      <c r="K163" s="1">
        <v>38375</v>
      </c>
      <c r="L163" t="s">
        <v>10</v>
      </c>
      <c r="M163" s="3">
        <v>51</v>
      </c>
      <c r="N163" s="2">
        <v>154.48755641985605</v>
      </c>
    </row>
    <row r="164" spans="9:14" x14ac:dyDescent="0.15">
      <c r="I164">
        <v>160</v>
      </c>
      <c r="J164" t="s">
        <v>7</v>
      </c>
      <c r="K164" s="1">
        <v>38353</v>
      </c>
      <c r="L164" t="s">
        <v>10</v>
      </c>
      <c r="M164" s="3">
        <v>72</v>
      </c>
      <c r="N164" s="2">
        <v>217.42437258205749</v>
      </c>
    </row>
    <row r="165" spans="9:14" x14ac:dyDescent="0.15">
      <c r="I165">
        <v>161</v>
      </c>
      <c r="J165" t="s">
        <v>1</v>
      </c>
      <c r="K165" s="1">
        <v>38034</v>
      </c>
      <c r="L165" t="s">
        <v>10</v>
      </c>
      <c r="M165" s="3">
        <v>46</v>
      </c>
      <c r="N165" s="2">
        <v>139.92999594688814</v>
      </c>
    </row>
    <row r="166" spans="9:14" x14ac:dyDescent="0.15">
      <c r="I166">
        <v>162</v>
      </c>
      <c r="J166" t="s">
        <v>3</v>
      </c>
      <c r="K166" s="1">
        <v>38408</v>
      </c>
      <c r="L166" t="s">
        <v>12</v>
      </c>
      <c r="M166" s="3">
        <v>-10</v>
      </c>
      <c r="N166" s="2">
        <v>-27.996195351956981</v>
      </c>
    </row>
    <row r="167" spans="9:14" x14ac:dyDescent="0.15">
      <c r="I167">
        <v>163</v>
      </c>
      <c r="J167" t="s">
        <v>7</v>
      </c>
      <c r="K167" s="1">
        <v>38573</v>
      </c>
      <c r="L167" t="s">
        <v>9</v>
      </c>
      <c r="M167" s="3">
        <v>-5</v>
      </c>
      <c r="N167" s="2">
        <v>-12.197238533968166</v>
      </c>
    </row>
    <row r="168" spans="9:14" x14ac:dyDescent="0.15">
      <c r="I168">
        <v>164</v>
      </c>
      <c r="J168" t="s">
        <v>3</v>
      </c>
      <c r="K168" s="1">
        <v>39002</v>
      </c>
      <c r="L168" t="s">
        <v>11</v>
      </c>
      <c r="M168" s="3">
        <v>16</v>
      </c>
      <c r="N168" s="2">
        <v>49.917622272183785</v>
      </c>
    </row>
    <row r="169" spans="9:14" x14ac:dyDescent="0.15">
      <c r="I169">
        <v>165</v>
      </c>
      <c r="J169" t="s">
        <v>3</v>
      </c>
      <c r="K169" s="1">
        <v>38705</v>
      </c>
      <c r="L169" t="s">
        <v>9</v>
      </c>
      <c r="M169" s="3">
        <v>25</v>
      </c>
      <c r="N169" s="2">
        <v>76.986898914774684</v>
      </c>
    </row>
    <row r="170" spans="9:14" x14ac:dyDescent="0.15">
      <c r="I170">
        <v>166</v>
      </c>
      <c r="J170" t="s">
        <v>5</v>
      </c>
      <c r="K170" s="1">
        <v>38441</v>
      </c>
      <c r="L170" t="s">
        <v>11</v>
      </c>
      <c r="M170" s="3">
        <v>49</v>
      </c>
      <c r="N170" s="2">
        <v>148.90711866414762</v>
      </c>
    </row>
    <row r="171" spans="9:14" x14ac:dyDescent="0.15">
      <c r="I171">
        <v>167</v>
      </c>
      <c r="J171" t="s">
        <v>8</v>
      </c>
      <c r="K171" s="1">
        <v>38067</v>
      </c>
      <c r="L171" t="s">
        <v>10</v>
      </c>
      <c r="M171" s="3">
        <v>21</v>
      </c>
      <c r="N171" s="2">
        <v>64.326659101878747</v>
      </c>
    </row>
    <row r="172" spans="9:14" x14ac:dyDescent="0.15">
      <c r="I172">
        <v>168</v>
      </c>
      <c r="J172" t="s">
        <v>1</v>
      </c>
      <c r="K172" s="1">
        <v>38859</v>
      </c>
      <c r="L172" t="s">
        <v>10</v>
      </c>
      <c r="M172" s="3">
        <v>29</v>
      </c>
      <c r="N172" s="2">
        <v>88.984161458299795</v>
      </c>
    </row>
    <row r="173" spans="9:14" x14ac:dyDescent="0.15">
      <c r="I173">
        <v>169</v>
      </c>
      <c r="J173" t="s">
        <v>6</v>
      </c>
      <c r="K173" s="1">
        <v>38034</v>
      </c>
      <c r="L173" t="s">
        <v>10</v>
      </c>
      <c r="M173" s="3">
        <v>63</v>
      </c>
      <c r="N173" s="2">
        <v>191.11407977738014</v>
      </c>
    </row>
    <row r="174" spans="9:14" x14ac:dyDescent="0.15">
      <c r="I174">
        <v>170</v>
      </c>
      <c r="J174" t="s">
        <v>0</v>
      </c>
      <c r="K174" s="1">
        <v>38881</v>
      </c>
      <c r="L174" t="s">
        <v>10</v>
      </c>
      <c r="M174" s="3">
        <v>21</v>
      </c>
      <c r="N174" s="2">
        <v>64.602960723055489</v>
      </c>
    </row>
    <row r="175" spans="9:14" x14ac:dyDescent="0.15">
      <c r="I175">
        <v>171</v>
      </c>
      <c r="J175" t="s">
        <v>8</v>
      </c>
      <c r="K175" s="1">
        <v>38639</v>
      </c>
      <c r="L175" t="s">
        <v>9</v>
      </c>
      <c r="M175" s="3">
        <v>93</v>
      </c>
      <c r="N175" s="2">
        <v>280.17276926587908</v>
      </c>
    </row>
    <row r="176" spans="9:14" x14ac:dyDescent="0.15">
      <c r="I176">
        <v>172</v>
      </c>
      <c r="J176" t="s">
        <v>2</v>
      </c>
      <c r="K176" s="1">
        <v>38045</v>
      </c>
      <c r="L176" t="s">
        <v>9</v>
      </c>
      <c r="M176" s="3">
        <v>55</v>
      </c>
      <c r="N176" s="2">
        <v>167.55415680156585</v>
      </c>
    </row>
    <row r="177" spans="9:14" x14ac:dyDescent="0.15">
      <c r="I177">
        <v>173</v>
      </c>
      <c r="J177" t="s">
        <v>5</v>
      </c>
      <c r="K177" s="1">
        <v>38914</v>
      </c>
      <c r="L177" t="s">
        <v>9</v>
      </c>
      <c r="M177" s="3">
        <v>14</v>
      </c>
      <c r="N177" s="2">
        <v>43.897196992459193</v>
      </c>
    </row>
    <row r="178" spans="9:14" x14ac:dyDescent="0.15">
      <c r="I178">
        <v>174</v>
      </c>
      <c r="J178" t="s">
        <v>0</v>
      </c>
      <c r="K178" s="1">
        <v>38056</v>
      </c>
      <c r="L178" t="s">
        <v>13</v>
      </c>
      <c r="M178" s="3">
        <v>91</v>
      </c>
      <c r="N178" s="2">
        <v>275.24479602731037</v>
      </c>
    </row>
    <row r="179" spans="9:14" x14ac:dyDescent="0.15">
      <c r="I179">
        <v>175</v>
      </c>
      <c r="J179" t="s">
        <v>5</v>
      </c>
      <c r="K179" s="1">
        <v>38100</v>
      </c>
      <c r="L179" t="s">
        <v>11</v>
      </c>
      <c r="M179" s="3">
        <v>80</v>
      </c>
      <c r="N179" s="2">
        <v>242.44859600981886</v>
      </c>
    </row>
    <row r="180" spans="9:14" x14ac:dyDescent="0.15">
      <c r="I180">
        <v>176</v>
      </c>
      <c r="J180" t="s">
        <v>8</v>
      </c>
      <c r="K180" s="1">
        <v>38683</v>
      </c>
      <c r="L180" t="s">
        <v>11</v>
      </c>
      <c r="M180" s="3">
        <v>70</v>
      </c>
      <c r="N180" s="2">
        <v>211.755231476809</v>
      </c>
    </row>
    <row r="181" spans="9:14" x14ac:dyDescent="0.15">
      <c r="I181">
        <v>177</v>
      </c>
      <c r="J181" t="s">
        <v>7</v>
      </c>
      <c r="K181" s="1">
        <v>38188</v>
      </c>
      <c r="L181" t="s">
        <v>12</v>
      </c>
      <c r="M181" s="3">
        <v>54</v>
      </c>
      <c r="N181" s="2">
        <v>164.30496670412208</v>
      </c>
    </row>
    <row r="182" spans="9:14" x14ac:dyDescent="0.15">
      <c r="I182">
        <v>178</v>
      </c>
      <c r="J182" t="s">
        <v>6</v>
      </c>
      <c r="K182" s="1">
        <v>38705</v>
      </c>
      <c r="L182" t="s">
        <v>12</v>
      </c>
      <c r="M182" s="3">
        <v>19</v>
      </c>
      <c r="N182" s="2">
        <v>58.362898336492826</v>
      </c>
    </row>
    <row r="183" spans="9:14" x14ac:dyDescent="0.15">
      <c r="I183">
        <v>179</v>
      </c>
      <c r="J183" t="s">
        <v>3</v>
      </c>
      <c r="K183" s="1">
        <v>38617</v>
      </c>
      <c r="L183" t="s">
        <v>9</v>
      </c>
      <c r="M183" s="3">
        <v>38</v>
      </c>
      <c r="N183" s="2">
        <v>115.82878872794043</v>
      </c>
    </row>
    <row r="184" spans="9:14" x14ac:dyDescent="0.15">
      <c r="I184">
        <v>180</v>
      </c>
      <c r="J184" t="s">
        <v>2</v>
      </c>
      <c r="K184" s="1">
        <v>38133</v>
      </c>
      <c r="L184" t="s">
        <v>13</v>
      </c>
      <c r="M184" s="3">
        <v>60</v>
      </c>
      <c r="N184" s="2">
        <v>182.02229380076153</v>
      </c>
    </row>
    <row r="185" spans="9:14" x14ac:dyDescent="0.15">
      <c r="I185">
        <v>181</v>
      </c>
      <c r="J185" t="s">
        <v>3</v>
      </c>
      <c r="K185" s="1">
        <v>38639</v>
      </c>
      <c r="L185" t="s">
        <v>13</v>
      </c>
      <c r="M185" s="3">
        <v>51</v>
      </c>
      <c r="N185" s="2">
        <v>155.73788458275871</v>
      </c>
    </row>
    <row r="186" spans="9:14" x14ac:dyDescent="0.15">
      <c r="I186">
        <v>182</v>
      </c>
      <c r="J186" t="s">
        <v>6</v>
      </c>
      <c r="K186" s="1">
        <v>38111</v>
      </c>
      <c r="L186" t="s">
        <v>10</v>
      </c>
      <c r="M186" s="3">
        <v>78</v>
      </c>
      <c r="N186" s="2">
        <v>236.14223463826744</v>
      </c>
    </row>
    <row r="187" spans="9:14" x14ac:dyDescent="0.15">
      <c r="I187">
        <v>183</v>
      </c>
      <c r="J187" t="s">
        <v>3</v>
      </c>
      <c r="K187" s="1">
        <v>38320</v>
      </c>
      <c r="L187" t="s">
        <v>9</v>
      </c>
      <c r="M187" s="3">
        <v>17</v>
      </c>
      <c r="N187" s="2">
        <v>52.469218210599529</v>
      </c>
    </row>
    <row r="188" spans="9:14" x14ac:dyDescent="0.15">
      <c r="I188">
        <v>184</v>
      </c>
      <c r="J188" t="s">
        <v>0</v>
      </c>
      <c r="K188" s="1">
        <v>38221</v>
      </c>
      <c r="L188" t="s">
        <v>11</v>
      </c>
      <c r="M188" s="3">
        <v>13</v>
      </c>
      <c r="N188" s="2">
        <v>40.808192712139302</v>
      </c>
    </row>
    <row r="189" spans="9:14" x14ac:dyDescent="0.15">
      <c r="I189">
        <v>185</v>
      </c>
      <c r="J189" t="s">
        <v>5</v>
      </c>
      <c r="K189" s="1">
        <v>38540</v>
      </c>
      <c r="L189" t="s">
        <v>12</v>
      </c>
      <c r="M189" s="3">
        <v>2</v>
      </c>
      <c r="N189" s="2">
        <v>8.0360535540736908</v>
      </c>
    </row>
    <row r="190" spans="9:14" x14ac:dyDescent="0.15">
      <c r="I190">
        <v>186</v>
      </c>
      <c r="J190" t="s">
        <v>8</v>
      </c>
      <c r="K190" s="1">
        <v>39046</v>
      </c>
      <c r="L190" t="s">
        <v>12</v>
      </c>
      <c r="M190" s="3">
        <v>74</v>
      </c>
      <c r="N190" s="2">
        <v>223.87783259743091</v>
      </c>
    </row>
    <row r="191" spans="9:14" x14ac:dyDescent="0.15">
      <c r="I191">
        <v>187</v>
      </c>
      <c r="J191" t="s">
        <v>2</v>
      </c>
      <c r="K191" s="1">
        <v>38793</v>
      </c>
      <c r="L191" t="s">
        <v>9</v>
      </c>
      <c r="M191" s="3">
        <v>57</v>
      </c>
      <c r="N191" s="2">
        <v>172.92421427081234</v>
      </c>
    </row>
    <row r="192" spans="9:14" x14ac:dyDescent="0.15">
      <c r="I192">
        <v>188</v>
      </c>
      <c r="J192" t="s">
        <v>0</v>
      </c>
      <c r="K192" s="1">
        <v>38111</v>
      </c>
      <c r="L192" t="s">
        <v>12</v>
      </c>
      <c r="M192" s="3">
        <v>79</v>
      </c>
      <c r="N192" s="2">
        <v>239.34428625432886</v>
      </c>
    </row>
    <row r="193" spans="9:14" x14ac:dyDescent="0.15">
      <c r="I193">
        <v>189</v>
      </c>
      <c r="J193" t="s">
        <v>2</v>
      </c>
      <c r="K193" s="1">
        <v>38518</v>
      </c>
      <c r="L193" t="s">
        <v>9</v>
      </c>
      <c r="M193" s="3">
        <v>82</v>
      </c>
      <c r="N193" s="2">
        <v>247.46177448016923</v>
      </c>
    </row>
    <row r="194" spans="9:14" x14ac:dyDescent="0.15">
      <c r="I194">
        <v>190</v>
      </c>
      <c r="J194" t="s">
        <v>7</v>
      </c>
      <c r="K194" s="1">
        <v>38991</v>
      </c>
      <c r="L194" t="s">
        <v>10</v>
      </c>
      <c r="M194" s="3">
        <v>28</v>
      </c>
      <c r="N194" s="2">
        <v>85.957225474601458</v>
      </c>
    </row>
    <row r="195" spans="9:14" x14ac:dyDescent="0.15">
      <c r="I195">
        <v>191</v>
      </c>
      <c r="J195" t="s">
        <v>0</v>
      </c>
      <c r="K195" s="1">
        <v>38023</v>
      </c>
      <c r="L195" t="s">
        <v>12</v>
      </c>
      <c r="M195" s="3">
        <v>63</v>
      </c>
      <c r="N195" s="2">
        <v>191.0302935038041</v>
      </c>
    </row>
    <row r="196" spans="9:14" x14ac:dyDescent="0.15">
      <c r="I196">
        <v>192</v>
      </c>
      <c r="J196" t="s">
        <v>1</v>
      </c>
      <c r="K196" s="1">
        <v>38628</v>
      </c>
      <c r="L196" t="s">
        <v>9</v>
      </c>
      <c r="M196" s="3">
        <v>72</v>
      </c>
      <c r="N196" s="2">
        <v>217.59287860664901</v>
      </c>
    </row>
    <row r="197" spans="9:14" x14ac:dyDescent="0.15">
      <c r="I197">
        <v>193</v>
      </c>
      <c r="J197" t="s">
        <v>1</v>
      </c>
      <c r="K197" s="1">
        <v>38727</v>
      </c>
      <c r="L197" t="s">
        <v>13</v>
      </c>
      <c r="M197" s="3">
        <v>68</v>
      </c>
      <c r="N197" s="2">
        <v>205.93270340856287</v>
      </c>
    </row>
    <row r="198" spans="9:14" x14ac:dyDescent="0.15">
      <c r="I198">
        <v>194</v>
      </c>
      <c r="J198" t="s">
        <v>5</v>
      </c>
      <c r="K198" s="1">
        <v>38738</v>
      </c>
      <c r="L198" t="s">
        <v>11</v>
      </c>
      <c r="M198" s="3">
        <v>8</v>
      </c>
      <c r="N198" s="2">
        <v>26.138739127477177</v>
      </c>
    </row>
    <row r="199" spans="9:14" x14ac:dyDescent="0.15">
      <c r="I199">
        <v>195</v>
      </c>
      <c r="J199" t="s">
        <v>3</v>
      </c>
      <c r="K199" s="1">
        <v>38331</v>
      </c>
      <c r="L199" t="s">
        <v>13</v>
      </c>
      <c r="M199" s="3">
        <v>62</v>
      </c>
      <c r="N199" s="2">
        <v>188.51634230729906</v>
      </c>
    </row>
    <row r="200" spans="9:14" x14ac:dyDescent="0.15">
      <c r="I200">
        <v>196</v>
      </c>
      <c r="J200" t="s">
        <v>0</v>
      </c>
      <c r="K200" s="1">
        <v>38430</v>
      </c>
      <c r="L200" t="s">
        <v>11</v>
      </c>
      <c r="M200" s="3">
        <v>5</v>
      </c>
      <c r="N200" s="2">
        <v>16.348427234046856</v>
      </c>
    </row>
    <row r="201" spans="9:14" x14ac:dyDescent="0.15">
      <c r="I201">
        <v>197</v>
      </c>
      <c r="J201" t="s">
        <v>2</v>
      </c>
      <c r="K201" s="1">
        <v>38023</v>
      </c>
      <c r="L201" t="s">
        <v>12</v>
      </c>
      <c r="M201" s="3">
        <v>-5</v>
      </c>
      <c r="N201" s="2">
        <v>-12.898061088841523</v>
      </c>
    </row>
    <row r="202" spans="9:14" x14ac:dyDescent="0.15">
      <c r="I202">
        <v>198</v>
      </c>
      <c r="J202" t="s">
        <v>2</v>
      </c>
      <c r="K202" s="1">
        <v>38859</v>
      </c>
      <c r="L202" t="s">
        <v>12</v>
      </c>
      <c r="M202" s="3">
        <v>-4</v>
      </c>
      <c r="N202" s="2">
        <v>-9.998213253386103</v>
      </c>
    </row>
    <row r="203" spans="9:14" x14ac:dyDescent="0.15">
      <c r="I203">
        <v>199</v>
      </c>
      <c r="J203" t="s">
        <v>1</v>
      </c>
      <c r="K203" s="1">
        <v>39046</v>
      </c>
      <c r="L203" t="s">
        <v>12</v>
      </c>
      <c r="M203" s="3">
        <v>81</v>
      </c>
      <c r="N203" s="2">
        <v>244.68104192003952</v>
      </c>
    </row>
    <row r="204" spans="9:14" x14ac:dyDescent="0.15">
      <c r="I204">
        <v>200</v>
      </c>
      <c r="J204" t="s">
        <v>1</v>
      </c>
      <c r="K204" s="1">
        <v>38793</v>
      </c>
      <c r="L204" t="s">
        <v>11</v>
      </c>
      <c r="M204" s="3">
        <v>21</v>
      </c>
      <c r="N204" s="2">
        <v>64.744003374094902</v>
      </c>
    </row>
    <row r="205" spans="9:14" x14ac:dyDescent="0.15">
      <c r="I205">
        <v>201</v>
      </c>
      <c r="J205" t="s">
        <v>7</v>
      </c>
      <c r="K205" s="1">
        <v>38529</v>
      </c>
      <c r="L205" t="s">
        <v>11</v>
      </c>
      <c r="M205" s="3">
        <v>21</v>
      </c>
      <c r="N205" s="2">
        <v>64.863192319117914</v>
      </c>
    </row>
    <row r="206" spans="9:14" x14ac:dyDescent="0.15">
      <c r="I206">
        <v>202</v>
      </c>
      <c r="J206" t="s">
        <v>3</v>
      </c>
      <c r="K206" s="1">
        <v>38716</v>
      </c>
      <c r="L206" t="s">
        <v>9</v>
      </c>
      <c r="M206" s="3">
        <v>-3</v>
      </c>
      <c r="N206" s="2">
        <v>-7.154085897104931</v>
      </c>
    </row>
    <row r="207" spans="9:14" x14ac:dyDescent="0.15">
      <c r="I207">
        <v>203</v>
      </c>
      <c r="J207" t="s">
        <v>7</v>
      </c>
      <c r="K207" s="1">
        <v>39079</v>
      </c>
      <c r="L207" t="s">
        <v>10</v>
      </c>
      <c r="M207" s="3">
        <v>57</v>
      </c>
      <c r="N207" s="2">
        <v>173.64445114790863</v>
      </c>
    </row>
    <row r="208" spans="9:14" x14ac:dyDescent="0.15">
      <c r="I208">
        <v>204</v>
      </c>
      <c r="J208" t="s">
        <v>7</v>
      </c>
      <c r="K208" s="1">
        <v>38947</v>
      </c>
      <c r="L208" t="s">
        <v>10</v>
      </c>
      <c r="M208" s="3">
        <v>86</v>
      </c>
      <c r="N208" s="2">
        <v>259.30970727563493</v>
      </c>
    </row>
    <row r="209" spans="9:14" x14ac:dyDescent="0.15">
      <c r="I209">
        <v>205</v>
      </c>
      <c r="J209" t="s">
        <v>0</v>
      </c>
      <c r="K209" s="1">
        <v>38826</v>
      </c>
      <c r="L209" t="s">
        <v>9</v>
      </c>
      <c r="M209" s="3">
        <v>14</v>
      </c>
      <c r="N209" s="2">
        <v>44.139016120906668</v>
      </c>
    </row>
    <row r="210" spans="9:14" x14ac:dyDescent="0.15">
      <c r="I210">
        <v>206</v>
      </c>
      <c r="J210" t="s">
        <v>3</v>
      </c>
      <c r="K210" s="1">
        <v>39057</v>
      </c>
      <c r="L210" t="s">
        <v>13</v>
      </c>
      <c r="M210" s="3">
        <v>20</v>
      </c>
      <c r="N210" s="2">
        <v>61.955881135465603</v>
      </c>
    </row>
    <row r="211" spans="9:14" x14ac:dyDescent="0.15">
      <c r="I211">
        <v>207</v>
      </c>
      <c r="J211" t="s">
        <v>2</v>
      </c>
      <c r="K211" s="1">
        <v>38023</v>
      </c>
      <c r="L211" t="s">
        <v>12</v>
      </c>
      <c r="M211" s="3">
        <v>60</v>
      </c>
      <c r="N211" s="2">
        <v>181.93942640636905</v>
      </c>
    </row>
    <row r="212" spans="9:14" x14ac:dyDescent="0.15">
      <c r="I212">
        <v>208</v>
      </c>
      <c r="J212" t="s">
        <v>0</v>
      </c>
      <c r="K212" s="1">
        <v>38903</v>
      </c>
      <c r="L212" t="s">
        <v>11</v>
      </c>
      <c r="M212" s="3">
        <v>45</v>
      </c>
      <c r="N212" s="2">
        <v>137.15507832075065</v>
      </c>
    </row>
    <row r="213" spans="9:14" x14ac:dyDescent="0.15">
      <c r="I213">
        <v>209</v>
      </c>
      <c r="J213" t="s">
        <v>0</v>
      </c>
      <c r="K213" s="1">
        <v>38078</v>
      </c>
      <c r="L213" t="s">
        <v>11</v>
      </c>
      <c r="M213" s="3">
        <v>7</v>
      </c>
      <c r="N213" s="2">
        <v>22.99759982335349</v>
      </c>
    </row>
    <row r="214" spans="9:14" x14ac:dyDescent="0.15">
      <c r="I214">
        <v>210</v>
      </c>
      <c r="J214" t="s">
        <v>8</v>
      </c>
      <c r="K214" s="1">
        <v>38782</v>
      </c>
      <c r="L214" t="s">
        <v>10</v>
      </c>
      <c r="M214" s="3">
        <v>-6</v>
      </c>
      <c r="N214" s="2">
        <v>-16.334472666280842</v>
      </c>
    </row>
    <row r="215" spans="9:14" x14ac:dyDescent="0.15">
      <c r="I215">
        <v>211</v>
      </c>
      <c r="J215" t="s">
        <v>0</v>
      </c>
      <c r="K215" s="1">
        <v>38837</v>
      </c>
      <c r="L215" t="s">
        <v>10</v>
      </c>
      <c r="M215" s="3">
        <v>35</v>
      </c>
      <c r="N215" s="2">
        <v>106.89982221762149</v>
      </c>
    </row>
    <row r="216" spans="9:14" x14ac:dyDescent="0.15">
      <c r="I216">
        <v>212</v>
      </c>
      <c r="J216" t="s">
        <v>2</v>
      </c>
      <c r="K216" s="1">
        <v>38848</v>
      </c>
      <c r="L216" t="s">
        <v>9</v>
      </c>
      <c r="M216" s="3">
        <v>31</v>
      </c>
      <c r="N216" s="2">
        <v>95.13200096066403</v>
      </c>
    </row>
    <row r="217" spans="9:14" x14ac:dyDescent="0.15">
      <c r="I217">
        <v>213</v>
      </c>
      <c r="J217" t="s">
        <v>0</v>
      </c>
      <c r="K217" s="1">
        <v>38672</v>
      </c>
      <c r="L217" t="s">
        <v>10</v>
      </c>
      <c r="M217" s="3">
        <v>19</v>
      </c>
      <c r="N217" s="2">
        <v>59.075740928551383</v>
      </c>
    </row>
    <row r="218" spans="9:14" x14ac:dyDescent="0.15">
      <c r="I218">
        <v>214</v>
      </c>
      <c r="J218" t="s">
        <v>4</v>
      </c>
      <c r="K218" s="1">
        <v>38760</v>
      </c>
      <c r="L218" t="s">
        <v>11</v>
      </c>
      <c r="M218" s="3">
        <v>35</v>
      </c>
      <c r="N218" s="2">
        <v>106.64339916643026</v>
      </c>
    </row>
    <row r="219" spans="9:14" x14ac:dyDescent="0.15">
      <c r="I219">
        <v>215</v>
      </c>
      <c r="J219" t="s">
        <v>8</v>
      </c>
      <c r="K219" s="1">
        <v>38353</v>
      </c>
      <c r="L219" t="s">
        <v>13</v>
      </c>
      <c r="M219" s="3">
        <v>51</v>
      </c>
      <c r="N219" s="2">
        <v>154.59771582934854</v>
      </c>
    </row>
    <row r="220" spans="9:14" x14ac:dyDescent="0.15">
      <c r="I220">
        <v>216</v>
      </c>
      <c r="J220" t="s">
        <v>3</v>
      </c>
      <c r="K220" s="1">
        <v>38771</v>
      </c>
      <c r="L220" t="s">
        <v>12</v>
      </c>
      <c r="M220" s="3">
        <v>1</v>
      </c>
      <c r="N220" s="2">
        <v>5.3867139626812968</v>
      </c>
    </row>
    <row r="221" spans="9:14" x14ac:dyDescent="0.15">
      <c r="I221">
        <v>217</v>
      </c>
      <c r="J221" t="s">
        <v>7</v>
      </c>
      <c r="K221" s="1">
        <v>38254</v>
      </c>
      <c r="L221" t="s">
        <v>9</v>
      </c>
      <c r="M221" s="3">
        <v>67</v>
      </c>
      <c r="N221" s="2">
        <v>203.35912709646638</v>
      </c>
    </row>
    <row r="222" spans="9:14" x14ac:dyDescent="0.15">
      <c r="I222">
        <v>218</v>
      </c>
      <c r="J222" t="s">
        <v>7</v>
      </c>
      <c r="K222" s="1">
        <v>38441</v>
      </c>
      <c r="L222" t="s">
        <v>12</v>
      </c>
      <c r="M222" s="3">
        <v>23</v>
      </c>
      <c r="N222" s="2">
        <v>71.412597536524615</v>
      </c>
    </row>
    <row r="223" spans="9:14" x14ac:dyDescent="0.15">
      <c r="I223">
        <v>219</v>
      </c>
      <c r="J223" t="s">
        <v>2</v>
      </c>
      <c r="K223" s="1">
        <v>38386</v>
      </c>
      <c r="L223" t="s">
        <v>9</v>
      </c>
      <c r="M223" s="3">
        <v>41</v>
      </c>
      <c r="N223" s="2">
        <v>125.23475441561757</v>
      </c>
    </row>
    <row r="224" spans="9:14" x14ac:dyDescent="0.15">
      <c r="I224">
        <v>220</v>
      </c>
      <c r="J224" t="s">
        <v>6</v>
      </c>
      <c r="K224" s="1">
        <v>38001</v>
      </c>
      <c r="L224" t="s">
        <v>12</v>
      </c>
      <c r="M224" s="3">
        <v>27</v>
      </c>
      <c r="N224" s="2">
        <v>83.195110350521588</v>
      </c>
    </row>
    <row r="225" spans="9:14" x14ac:dyDescent="0.15">
      <c r="I225">
        <v>221</v>
      </c>
      <c r="J225" t="s">
        <v>1</v>
      </c>
      <c r="K225" s="1">
        <v>38980</v>
      </c>
      <c r="L225" t="s">
        <v>9</v>
      </c>
      <c r="M225" s="3">
        <v>56</v>
      </c>
      <c r="N225" s="2">
        <v>170.17512557022724</v>
      </c>
    </row>
    <row r="226" spans="9:14" x14ac:dyDescent="0.15">
      <c r="I226">
        <v>222</v>
      </c>
      <c r="J226" t="s">
        <v>6</v>
      </c>
      <c r="K226" s="1">
        <v>38188</v>
      </c>
      <c r="L226" t="s">
        <v>12</v>
      </c>
      <c r="M226" s="3">
        <v>67</v>
      </c>
      <c r="N226" s="2">
        <v>203.35311949602652</v>
      </c>
    </row>
    <row r="227" spans="9:14" x14ac:dyDescent="0.15">
      <c r="I227">
        <v>223</v>
      </c>
      <c r="J227" t="s">
        <v>8</v>
      </c>
      <c r="K227" s="1">
        <v>38243</v>
      </c>
      <c r="L227" t="s">
        <v>9</v>
      </c>
      <c r="M227" s="3">
        <v>94</v>
      </c>
      <c r="N227" s="2">
        <v>283.74141758000144</v>
      </c>
    </row>
    <row r="228" spans="9:14" x14ac:dyDescent="0.15">
      <c r="I228">
        <v>224</v>
      </c>
      <c r="J228" t="s">
        <v>1</v>
      </c>
      <c r="K228" s="1">
        <v>38265</v>
      </c>
      <c r="L228" t="s">
        <v>11</v>
      </c>
      <c r="M228" s="3">
        <v>52</v>
      </c>
      <c r="N228" s="2">
        <v>158.2973319694853</v>
      </c>
    </row>
    <row r="229" spans="9:14" x14ac:dyDescent="0.15">
      <c r="I229">
        <v>225</v>
      </c>
      <c r="J229" t="s">
        <v>4</v>
      </c>
      <c r="K229" s="1">
        <v>38023</v>
      </c>
      <c r="L229" t="s">
        <v>13</v>
      </c>
      <c r="M229" s="3">
        <v>24</v>
      </c>
      <c r="N229" s="2">
        <v>74.243899422562194</v>
      </c>
    </row>
    <row r="230" spans="9:14" x14ac:dyDescent="0.15">
      <c r="I230">
        <v>226</v>
      </c>
      <c r="J230" t="s">
        <v>0</v>
      </c>
      <c r="K230" s="1">
        <v>38144</v>
      </c>
      <c r="L230" t="s">
        <v>10</v>
      </c>
      <c r="M230" s="3">
        <v>-1</v>
      </c>
      <c r="N230" s="2">
        <v>-0.91770776800017373</v>
      </c>
    </row>
    <row r="231" spans="9:14" x14ac:dyDescent="0.15">
      <c r="I231">
        <v>227</v>
      </c>
      <c r="J231" t="s">
        <v>3</v>
      </c>
      <c r="K231" s="1">
        <v>38738</v>
      </c>
      <c r="L231" t="s">
        <v>11</v>
      </c>
      <c r="M231" s="3">
        <v>37</v>
      </c>
      <c r="N231" s="2">
        <v>112.52158206006119</v>
      </c>
    </row>
    <row r="232" spans="9:14" x14ac:dyDescent="0.15">
      <c r="I232">
        <v>228</v>
      </c>
      <c r="J232" t="s">
        <v>8</v>
      </c>
      <c r="K232" s="1">
        <v>38771</v>
      </c>
      <c r="L232" t="s">
        <v>9</v>
      </c>
      <c r="M232" s="3">
        <v>63</v>
      </c>
      <c r="N232" s="2">
        <v>191.4542393048981</v>
      </c>
    </row>
    <row r="233" spans="9:14" x14ac:dyDescent="0.15">
      <c r="I233">
        <v>229</v>
      </c>
      <c r="J233" t="s">
        <v>7</v>
      </c>
      <c r="K233" s="1">
        <v>38089</v>
      </c>
      <c r="L233" t="s">
        <v>10</v>
      </c>
      <c r="M233" s="3">
        <v>13</v>
      </c>
      <c r="N233" s="2">
        <v>41.010346846521706</v>
      </c>
    </row>
    <row r="234" spans="9:14" x14ac:dyDescent="0.15">
      <c r="I234">
        <v>230</v>
      </c>
      <c r="J234" t="s">
        <v>3</v>
      </c>
      <c r="K234" s="1">
        <v>39046</v>
      </c>
      <c r="L234" t="s">
        <v>10</v>
      </c>
      <c r="M234" s="3">
        <v>7</v>
      </c>
      <c r="N234" s="2">
        <v>22.334877359058812</v>
      </c>
    </row>
    <row r="235" spans="9:14" x14ac:dyDescent="0.15">
      <c r="I235">
        <v>231</v>
      </c>
      <c r="J235" t="s">
        <v>4</v>
      </c>
      <c r="K235" s="1">
        <v>38067</v>
      </c>
      <c r="L235" t="s">
        <v>10</v>
      </c>
      <c r="M235" s="3">
        <v>64</v>
      </c>
      <c r="N235" s="2">
        <v>193.83879299726061</v>
      </c>
    </row>
    <row r="236" spans="9:14" x14ac:dyDescent="0.15">
      <c r="I236">
        <v>232</v>
      </c>
      <c r="J236" t="s">
        <v>6</v>
      </c>
      <c r="K236" s="1">
        <v>38144</v>
      </c>
      <c r="L236" t="s">
        <v>10</v>
      </c>
      <c r="M236" s="3">
        <v>63</v>
      </c>
      <c r="N236" s="2">
        <v>190.90668689411601</v>
      </c>
    </row>
    <row r="237" spans="9:14" x14ac:dyDescent="0.15">
      <c r="I237">
        <v>233</v>
      </c>
      <c r="J237" t="s">
        <v>5</v>
      </c>
      <c r="K237" s="1">
        <v>38210</v>
      </c>
      <c r="L237" t="s">
        <v>12</v>
      </c>
      <c r="M237" s="3">
        <v>57</v>
      </c>
      <c r="N237" s="2">
        <v>173.59022125804509</v>
      </c>
    </row>
    <row r="238" spans="9:14" x14ac:dyDescent="0.15">
      <c r="I238">
        <v>234</v>
      </c>
      <c r="J238" t="s">
        <v>5</v>
      </c>
      <c r="K238" s="1">
        <v>38298</v>
      </c>
      <c r="L238" t="s">
        <v>12</v>
      </c>
      <c r="M238" s="3">
        <v>59</v>
      </c>
      <c r="N238" s="2">
        <v>178.9266502635322</v>
      </c>
    </row>
    <row r="239" spans="9:14" x14ac:dyDescent="0.15">
      <c r="I239">
        <v>235</v>
      </c>
      <c r="J239" t="s">
        <v>0</v>
      </c>
      <c r="K239" s="1">
        <v>38342</v>
      </c>
      <c r="L239" t="s">
        <v>9</v>
      </c>
      <c r="M239" s="3">
        <v>-3</v>
      </c>
      <c r="N239" s="2">
        <v>-7.2637597489178187</v>
      </c>
    </row>
    <row r="240" spans="9:14" x14ac:dyDescent="0.15">
      <c r="I240">
        <v>236</v>
      </c>
      <c r="J240" t="s">
        <v>7</v>
      </c>
      <c r="K240" s="1">
        <v>38991</v>
      </c>
      <c r="L240" t="s">
        <v>10</v>
      </c>
      <c r="M240" s="3">
        <v>86</v>
      </c>
      <c r="N240" s="2">
        <v>260.32907018535167</v>
      </c>
    </row>
    <row r="241" spans="9:14" x14ac:dyDescent="0.15">
      <c r="I241">
        <v>237</v>
      </c>
      <c r="J241" t="s">
        <v>1</v>
      </c>
      <c r="K241" s="1">
        <v>38254</v>
      </c>
      <c r="L241" t="s">
        <v>11</v>
      </c>
      <c r="M241" s="3">
        <v>-4</v>
      </c>
      <c r="N241" s="2">
        <v>-9.9939520680829617</v>
      </c>
    </row>
    <row r="242" spans="9:14" x14ac:dyDescent="0.15">
      <c r="I242">
        <v>238</v>
      </c>
      <c r="J242" t="s">
        <v>6</v>
      </c>
      <c r="K242" s="1">
        <v>38353</v>
      </c>
      <c r="L242" t="s">
        <v>10</v>
      </c>
      <c r="M242" s="3">
        <v>7</v>
      </c>
      <c r="N242" s="2">
        <v>23.654332569914828</v>
      </c>
    </row>
    <row r="243" spans="9:14" x14ac:dyDescent="0.15">
      <c r="I243">
        <v>239</v>
      </c>
      <c r="J243" t="s">
        <v>7</v>
      </c>
      <c r="K243" s="1">
        <v>38991</v>
      </c>
      <c r="L243" t="s">
        <v>10</v>
      </c>
      <c r="M243" s="3">
        <v>43</v>
      </c>
      <c r="N243" s="2">
        <v>131.67769291502447</v>
      </c>
    </row>
    <row r="244" spans="9:14" x14ac:dyDescent="0.15">
      <c r="I244">
        <v>240</v>
      </c>
      <c r="J244" t="s">
        <v>5</v>
      </c>
      <c r="K244" s="1">
        <v>38661</v>
      </c>
      <c r="L244" t="s">
        <v>10</v>
      </c>
      <c r="M244" s="3">
        <v>2</v>
      </c>
      <c r="N244" s="2">
        <v>7.6348447793459382</v>
      </c>
    </row>
    <row r="245" spans="9:14" x14ac:dyDescent="0.15">
      <c r="I245">
        <v>241</v>
      </c>
      <c r="J245" t="s">
        <v>5</v>
      </c>
      <c r="K245" s="1">
        <v>38474</v>
      </c>
      <c r="L245" t="s">
        <v>12</v>
      </c>
      <c r="M245" s="3">
        <v>85</v>
      </c>
      <c r="N245" s="2">
        <v>256.87957020946436</v>
      </c>
    </row>
    <row r="246" spans="9:14" x14ac:dyDescent="0.15">
      <c r="I246">
        <v>242</v>
      </c>
      <c r="J246" t="s">
        <v>5</v>
      </c>
      <c r="K246" s="1">
        <v>38463</v>
      </c>
      <c r="L246" t="s">
        <v>11</v>
      </c>
      <c r="M246" s="3">
        <v>52</v>
      </c>
      <c r="N246" s="2">
        <v>158.18704198984506</v>
      </c>
    </row>
    <row r="247" spans="9:14" x14ac:dyDescent="0.15">
      <c r="I247">
        <v>243</v>
      </c>
      <c r="J247" t="s">
        <v>2</v>
      </c>
      <c r="K247" s="1">
        <v>38177</v>
      </c>
      <c r="L247" t="s">
        <v>13</v>
      </c>
      <c r="M247" s="3">
        <v>-3</v>
      </c>
      <c r="N247" s="2">
        <v>-7.3950210500886264</v>
      </c>
    </row>
    <row r="248" spans="9:14" x14ac:dyDescent="0.15">
      <c r="I248">
        <v>244</v>
      </c>
      <c r="J248" t="s">
        <v>1</v>
      </c>
      <c r="K248" s="1">
        <v>38408</v>
      </c>
      <c r="L248" t="s">
        <v>11</v>
      </c>
      <c r="M248" s="3">
        <v>8</v>
      </c>
      <c r="N248" s="2">
        <v>25.546689047987762</v>
      </c>
    </row>
    <row r="249" spans="9:14" x14ac:dyDescent="0.15">
      <c r="I249">
        <v>245</v>
      </c>
      <c r="J249" t="s">
        <v>7</v>
      </c>
      <c r="K249" s="1">
        <v>38177</v>
      </c>
      <c r="L249" t="s">
        <v>12</v>
      </c>
      <c r="M249" s="3">
        <v>5</v>
      </c>
      <c r="N249" s="2">
        <v>17.198905576452098</v>
      </c>
    </row>
    <row r="250" spans="9:14" x14ac:dyDescent="0.15">
      <c r="I250">
        <v>246</v>
      </c>
      <c r="J250" t="s">
        <v>3</v>
      </c>
      <c r="K250" s="1">
        <v>38958</v>
      </c>
      <c r="L250" t="s">
        <v>12</v>
      </c>
      <c r="M250" s="3">
        <v>90</v>
      </c>
      <c r="N250" s="2">
        <v>272.09870438545738</v>
      </c>
    </row>
    <row r="251" spans="9:14" x14ac:dyDescent="0.15">
      <c r="I251">
        <v>247</v>
      </c>
      <c r="J251" t="s">
        <v>8</v>
      </c>
      <c r="K251" s="1">
        <v>39035</v>
      </c>
      <c r="L251" t="s">
        <v>12</v>
      </c>
      <c r="M251" s="3">
        <v>36</v>
      </c>
      <c r="N251" s="2">
        <v>110.33744975059108</v>
      </c>
    </row>
    <row r="252" spans="9:14" x14ac:dyDescent="0.15">
      <c r="I252">
        <v>248</v>
      </c>
      <c r="J252" t="s">
        <v>4</v>
      </c>
      <c r="K252" s="1">
        <v>38584</v>
      </c>
      <c r="L252" t="s">
        <v>12</v>
      </c>
      <c r="M252" s="3">
        <v>25</v>
      </c>
      <c r="N252" s="2">
        <v>77.014900645073141</v>
      </c>
    </row>
    <row r="253" spans="9:14" x14ac:dyDescent="0.15">
      <c r="I253">
        <v>249</v>
      </c>
      <c r="J253" t="s">
        <v>8</v>
      </c>
      <c r="K253" s="1">
        <v>38430</v>
      </c>
      <c r="L253" t="s">
        <v>12</v>
      </c>
      <c r="M253" s="3">
        <v>7</v>
      </c>
      <c r="N253" s="2">
        <v>23.133204884254319</v>
      </c>
    </row>
    <row r="254" spans="9:14" x14ac:dyDescent="0.15">
      <c r="I254">
        <v>250</v>
      </c>
      <c r="J254" t="s">
        <v>2</v>
      </c>
      <c r="K254" s="1">
        <v>39024</v>
      </c>
      <c r="L254" t="s">
        <v>12</v>
      </c>
      <c r="M254" s="3">
        <v>64</v>
      </c>
      <c r="N254" s="2">
        <v>194.25372471684716</v>
      </c>
    </row>
    <row r="255" spans="9:14" x14ac:dyDescent="0.15">
      <c r="I255">
        <v>251</v>
      </c>
      <c r="J255" t="s">
        <v>2</v>
      </c>
      <c r="K255" s="1">
        <v>38111</v>
      </c>
      <c r="L255" t="s">
        <v>12</v>
      </c>
      <c r="M255" s="3">
        <v>71</v>
      </c>
      <c r="N255" s="2">
        <v>215.49309366005642</v>
      </c>
    </row>
    <row r="256" spans="9:14" x14ac:dyDescent="0.15">
      <c r="I256">
        <v>252</v>
      </c>
      <c r="J256" t="s">
        <v>6</v>
      </c>
      <c r="K256" s="1">
        <v>38452</v>
      </c>
      <c r="L256" t="s">
        <v>11</v>
      </c>
      <c r="M256" s="3">
        <v>41</v>
      </c>
      <c r="N256" s="2">
        <v>124.81042324173134</v>
      </c>
    </row>
    <row r="257" spans="9:14" x14ac:dyDescent="0.15">
      <c r="I257">
        <v>253</v>
      </c>
      <c r="J257" t="s">
        <v>6</v>
      </c>
      <c r="K257" s="1">
        <v>38254</v>
      </c>
      <c r="L257" t="s">
        <v>9</v>
      </c>
      <c r="M257" s="3">
        <v>84</v>
      </c>
      <c r="N257" s="2">
        <v>253.28617965312779</v>
      </c>
    </row>
    <row r="258" spans="9:14" x14ac:dyDescent="0.15">
      <c r="I258">
        <v>254</v>
      </c>
      <c r="J258" t="s">
        <v>5</v>
      </c>
      <c r="K258" s="1">
        <v>38441</v>
      </c>
      <c r="L258" t="s">
        <v>11</v>
      </c>
      <c r="M258" s="3">
        <v>3</v>
      </c>
      <c r="N258" s="2">
        <v>10.703015398687583</v>
      </c>
    </row>
    <row r="259" spans="9:14" x14ac:dyDescent="0.15">
      <c r="I259">
        <v>255</v>
      </c>
      <c r="J259" t="s">
        <v>6</v>
      </c>
      <c r="K259" s="1">
        <v>38078</v>
      </c>
      <c r="L259" t="s">
        <v>9</v>
      </c>
      <c r="M259" s="3">
        <v>15</v>
      </c>
      <c r="N259" s="2">
        <v>46.761676481443232</v>
      </c>
    </row>
    <row r="260" spans="9:14" x14ac:dyDescent="0.15">
      <c r="I260">
        <v>256</v>
      </c>
      <c r="J260" t="s">
        <v>3</v>
      </c>
      <c r="K260" s="1">
        <v>38023</v>
      </c>
      <c r="L260" t="s">
        <v>11</v>
      </c>
      <c r="M260" s="3">
        <v>1</v>
      </c>
      <c r="N260" s="2">
        <v>4.8820462029427096</v>
      </c>
    </row>
    <row r="261" spans="9:14" x14ac:dyDescent="0.15">
      <c r="I261">
        <v>257</v>
      </c>
      <c r="J261" t="s">
        <v>3</v>
      </c>
      <c r="K261" s="1">
        <v>38540</v>
      </c>
      <c r="L261" t="s">
        <v>12</v>
      </c>
      <c r="M261" s="3">
        <v>10</v>
      </c>
      <c r="N261" s="2">
        <v>32.468400196905996</v>
      </c>
    </row>
    <row r="262" spans="9:14" x14ac:dyDescent="0.15">
      <c r="I262">
        <v>258</v>
      </c>
      <c r="J262" t="s">
        <v>5</v>
      </c>
      <c r="K262" s="1">
        <v>38364</v>
      </c>
      <c r="L262" t="s">
        <v>11</v>
      </c>
      <c r="M262" s="3">
        <v>77</v>
      </c>
      <c r="N262" s="2">
        <v>233.3993347830984</v>
      </c>
    </row>
    <row r="263" spans="9:14" x14ac:dyDescent="0.15">
      <c r="I263">
        <v>259</v>
      </c>
      <c r="J263" t="s">
        <v>2</v>
      </c>
      <c r="K263" s="1">
        <v>38397</v>
      </c>
      <c r="L263" t="s">
        <v>13</v>
      </c>
      <c r="M263" s="3">
        <v>65</v>
      </c>
      <c r="N263" s="2">
        <v>196.49346597044766</v>
      </c>
    </row>
    <row r="264" spans="9:14" x14ac:dyDescent="0.15">
      <c r="I264">
        <v>260</v>
      </c>
      <c r="J264" t="s">
        <v>4</v>
      </c>
      <c r="K264" s="1">
        <v>38001</v>
      </c>
      <c r="L264" t="s">
        <v>11</v>
      </c>
      <c r="M264" s="3">
        <v>25</v>
      </c>
      <c r="N264" s="2">
        <v>77.329572231774151</v>
      </c>
    </row>
    <row r="265" spans="9:14" x14ac:dyDescent="0.15">
      <c r="I265">
        <v>261</v>
      </c>
      <c r="J265" t="s">
        <v>7</v>
      </c>
      <c r="K265" s="1">
        <v>38914</v>
      </c>
      <c r="L265" t="s">
        <v>12</v>
      </c>
      <c r="M265" s="3">
        <v>-1</v>
      </c>
      <c r="N265" s="2">
        <v>-1.930462865623249</v>
      </c>
    </row>
    <row r="266" spans="9:14" x14ac:dyDescent="0.15">
      <c r="I266">
        <v>262</v>
      </c>
      <c r="J266" t="s">
        <v>0</v>
      </c>
      <c r="K266" s="1">
        <v>38958</v>
      </c>
      <c r="L266" t="s">
        <v>9</v>
      </c>
      <c r="M266" s="3">
        <v>2</v>
      </c>
      <c r="N266" s="2">
        <v>7.9709250117717731</v>
      </c>
    </row>
    <row r="267" spans="9:14" x14ac:dyDescent="0.15">
      <c r="I267">
        <v>263</v>
      </c>
      <c r="J267" t="s">
        <v>4</v>
      </c>
      <c r="K267" s="1">
        <v>39024</v>
      </c>
      <c r="L267" t="s">
        <v>10</v>
      </c>
      <c r="M267" s="3">
        <v>62</v>
      </c>
      <c r="N267" s="2">
        <v>187.61965072290988</v>
      </c>
    </row>
    <row r="268" spans="9:14" x14ac:dyDescent="0.15">
      <c r="I268">
        <v>264</v>
      </c>
      <c r="J268" t="s">
        <v>2</v>
      </c>
      <c r="K268" s="1">
        <v>38485</v>
      </c>
      <c r="L268" t="s">
        <v>9</v>
      </c>
      <c r="M268" s="3">
        <v>28</v>
      </c>
      <c r="N268" s="2">
        <v>86.788113277044275</v>
      </c>
    </row>
    <row r="269" spans="9:14" x14ac:dyDescent="0.15">
      <c r="I269">
        <v>265</v>
      </c>
      <c r="J269" t="s">
        <v>3</v>
      </c>
      <c r="K269" s="1">
        <v>38551</v>
      </c>
      <c r="L269" t="s">
        <v>11</v>
      </c>
      <c r="M269" s="3">
        <v>55</v>
      </c>
      <c r="N269" s="2">
        <v>167.05079786120268</v>
      </c>
    </row>
    <row r="270" spans="9:14" x14ac:dyDescent="0.15">
      <c r="I270">
        <v>266</v>
      </c>
      <c r="J270" t="s">
        <v>2</v>
      </c>
      <c r="K270" s="1">
        <v>38518</v>
      </c>
      <c r="L270" t="s">
        <v>10</v>
      </c>
      <c r="M270" s="3">
        <v>28</v>
      </c>
      <c r="N270" s="2">
        <v>86.636057383669893</v>
      </c>
    </row>
    <row r="271" spans="9:14" x14ac:dyDescent="0.15">
      <c r="I271">
        <v>267</v>
      </c>
      <c r="J271" t="s">
        <v>1</v>
      </c>
      <c r="K271" s="1">
        <v>38562</v>
      </c>
      <c r="L271" t="s">
        <v>9</v>
      </c>
      <c r="M271" s="3">
        <v>5</v>
      </c>
      <c r="N271" s="2">
        <v>16.670839286326668</v>
      </c>
    </row>
    <row r="272" spans="9:14" x14ac:dyDescent="0.15">
      <c r="I272">
        <v>268</v>
      </c>
      <c r="J272" t="s">
        <v>1</v>
      </c>
      <c r="K272" s="1">
        <v>38298</v>
      </c>
      <c r="L272" t="s">
        <v>11</v>
      </c>
      <c r="M272" s="3">
        <v>1</v>
      </c>
      <c r="N272" s="2">
        <v>4.7722172541512009</v>
      </c>
    </row>
    <row r="273" spans="9:14" x14ac:dyDescent="0.15">
      <c r="I273">
        <v>269</v>
      </c>
      <c r="J273" t="s">
        <v>1</v>
      </c>
      <c r="K273" s="1">
        <v>38518</v>
      </c>
      <c r="L273" t="s">
        <v>9</v>
      </c>
      <c r="M273" s="3">
        <v>26</v>
      </c>
      <c r="N273" s="2">
        <v>80.012011803068276</v>
      </c>
    </row>
    <row r="274" spans="9:14" x14ac:dyDescent="0.15">
      <c r="I274">
        <v>270</v>
      </c>
      <c r="J274" t="s">
        <v>4</v>
      </c>
      <c r="K274" s="1">
        <v>38144</v>
      </c>
      <c r="L274" t="s">
        <v>9</v>
      </c>
      <c r="M274" s="3">
        <v>47</v>
      </c>
      <c r="N274" s="2">
        <v>142.84602668228962</v>
      </c>
    </row>
    <row r="275" spans="9:14" x14ac:dyDescent="0.15">
      <c r="I275">
        <v>271</v>
      </c>
      <c r="J275" t="s">
        <v>3</v>
      </c>
      <c r="K275" s="1">
        <v>38474</v>
      </c>
      <c r="L275" t="s">
        <v>11</v>
      </c>
      <c r="M275" s="3">
        <v>74</v>
      </c>
      <c r="N275" s="2">
        <v>224.75435048565893</v>
      </c>
    </row>
    <row r="276" spans="9:14" x14ac:dyDescent="0.15">
      <c r="I276">
        <v>272</v>
      </c>
      <c r="J276" t="s">
        <v>7</v>
      </c>
      <c r="K276" s="1">
        <v>38848</v>
      </c>
      <c r="L276" t="s">
        <v>10</v>
      </c>
      <c r="M276" s="3">
        <v>22</v>
      </c>
      <c r="N276" s="2">
        <v>68.710607050620922</v>
      </c>
    </row>
    <row r="277" spans="9:14" x14ac:dyDescent="0.15">
      <c r="I277">
        <v>273</v>
      </c>
      <c r="J277" t="s">
        <v>6</v>
      </c>
      <c r="K277" s="1">
        <v>38892</v>
      </c>
      <c r="L277" t="s">
        <v>13</v>
      </c>
      <c r="M277" s="3">
        <v>70</v>
      </c>
      <c r="N277" s="2">
        <v>212.26238499892682</v>
      </c>
    </row>
    <row r="278" spans="9:14" x14ac:dyDescent="0.15">
      <c r="I278">
        <v>274</v>
      </c>
      <c r="J278" t="s">
        <v>7</v>
      </c>
      <c r="K278" s="1">
        <v>38683</v>
      </c>
      <c r="L278" t="s">
        <v>9</v>
      </c>
      <c r="M278" s="3">
        <v>83</v>
      </c>
      <c r="N278" s="2">
        <v>251.31042576912338</v>
      </c>
    </row>
    <row r="279" spans="9:14" x14ac:dyDescent="0.15">
      <c r="I279">
        <v>275</v>
      </c>
      <c r="J279" t="s">
        <v>3</v>
      </c>
      <c r="K279" s="1">
        <v>38694</v>
      </c>
      <c r="L279" t="s">
        <v>11</v>
      </c>
      <c r="M279" s="3">
        <v>59</v>
      </c>
      <c r="N279" s="2">
        <v>179.38546683395009</v>
      </c>
    </row>
    <row r="280" spans="9:14" x14ac:dyDescent="0.15">
      <c r="I280">
        <v>276</v>
      </c>
      <c r="J280" t="s">
        <v>7</v>
      </c>
      <c r="K280" s="1">
        <v>38573</v>
      </c>
      <c r="L280" t="s">
        <v>12</v>
      </c>
      <c r="M280" s="3">
        <v>0</v>
      </c>
      <c r="N280" s="2">
        <v>1.5831115612014064</v>
      </c>
    </row>
    <row r="281" spans="9:14" x14ac:dyDescent="0.15">
      <c r="I281">
        <v>277</v>
      </c>
      <c r="J281" t="s">
        <v>3</v>
      </c>
      <c r="K281" s="1">
        <v>38364</v>
      </c>
      <c r="L281" t="s">
        <v>11</v>
      </c>
      <c r="M281" s="3">
        <v>82</v>
      </c>
      <c r="N281" s="2">
        <v>247.58247918220624</v>
      </c>
    </row>
    <row r="282" spans="9:14" x14ac:dyDescent="0.15">
      <c r="I282">
        <v>278</v>
      </c>
      <c r="J282" t="s">
        <v>8</v>
      </c>
      <c r="K282" s="1">
        <v>38419</v>
      </c>
      <c r="L282" t="s">
        <v>11</v>
      </c>
      <c r="M282" s="3">
        <v>29</v>
      </c>
      <c r="N282" s="2">
        <v>89.053128978062901</v>
      </c>
    </row>
    <row r="283" spans="9:14" x14ac:dyDescent="0.15">
      <c r="I283">
        <v>279</v>
      </c>
      <c r="J283" t="s">
        <v>7</v>
      </c>
      <c r="K283" s="1">
        <v>38122</v>
      </c>
      <c r="L283" t="s">
        <v>9</v>
      </c>
      <c r="M283" s="3">
        <v>63</v>
      </c>
      <c r="N283" s="2">
        <v>191.08641465198994</v>
      </c>
    </row>
    <row r="284" spans="9:14" x14ac:dyDescent="0.15">
      <c r="I284">
        <v>280</v>
      </c>
      <c r="J284" t="s">
        <v>0</v>
      </c>
      <c r="K284" s="1">
        <v>38991</v>
      </c>
      <c r="L284" t="s">
        <v>10</v>
      </c>
      <c r="M284" s="3">
        <v>67</v>
      </c>
      <c r="N284" s="2">
        <v>203.10846928946893</v>
      </c>
    </row>
    <row r="285" spans="9:14" x14ac:dyDescent="0.15">
      <c r="I285">
        <v>281</v>
      </c>
      <c r="J285" t="s">
        <v>1</v>
      </c>
      <c r="K285" s="1">
        <v>38562</v>
      </c>
      <c r="L285" t="s">
        <v>11</v>
      </c>
      <c r="M285" s="3">
        <v>3</v>
      </c>
      <c r="N285" s="2">
        <v>10.780730703026945</v>
      </c>
    </row>
    <row r="286" spans="9:14" x14ac:dyDescent="0.15">
      <c r="I286">
        <v>282</v>
      </c>
      <c r="J286" t="s">
        <v>3</v>
      </c>
      <c r="K286" s="1">
        <v>38331</v>
      </c>
      <c r="L286" t="s">
        <v>11</v>
      </c>
      <c r="M286" s="3">
        <v>65</v>
      </c>
      <c r="N286" s="2">
        <v>197.40778751122588</v>
      </c>
    </row>
    <row r="287" spans="9:14" x14ac:dyDescent="0.15">
      <c r="I287">
        <v>283</v>
      </c>
      <c r="J287" t="s">
        <v>5</v>
      </c>
      <c r="K287" s="1">
        <v>38133</v>
      </c>
      <c r="L287" t="s">
        <v>13</v>
      </c>
      <c r="M287" s="3">
        <v>75</v>
      </c>
      <c r="N287" s="2">
        <v>227.4564792557687</v>
      </c>
    </row>
    <row r="288" spans="9:14" x14ac:dyDescent="0.15">
      <c r="I288">
        <v>284</v>
      </c>
      <c r="J288" t="s">
        <v>5</v>
      </c>
      <c r="K288" s="1">
        <v>38221</v>
      </c>
      <c r="L288" t="s">
        <v>10</v>
      </c>
      <c r="M288" s="3">
        <v>79</v>
      </c>
      <c r="N288" s="2">
        <v>239.89546823670116</v>
      </c>
    </row>
    <row r="289" spans="9:14" x14ac:dyDescent="0.15">
      <c r="I289">
        <v>285</v>
      </c>
      <c r="J289" t="s">
        <v>0</v>
      </c>
      <c r="K289" s="1">
        <v>38947</v>
      </c>
      <c r="L289" t="s">
        <v>12</v>
      </c>
      <c r="M289" s="3">
        <v>-5</v>
      </c>
      <c r="N289" s="2">
        <v>-12.920960169584891</v>
      </c>
    </row>
    <row r="290" spans="9:14" x14ac:dyDescent="0.15">
      <c r="I290">
        <v>286</v>
      </c>
      <c r="J290" t="s">
        <v>0</v>
      </c>
      <c r="K290" s="1">
        <v>38441</v>
      </c>
      <c r="L290" t="s">
        <v>9</v>
      </c>
      <c r="M290" s="3">
        <v>31</v>
      </c>
      <c r="N290" s="2">
        <v>95.512317695132197</v>
      </c>
    </row>
    <row r="291" spans="9:14" x14ac:dyDescent="0.15">
      <c r="I291">
        <v>287</v>
      </c>
      <c r="J291" t="s">
        <v>6</v>
      </c>
      <c r="K291" s="1">
        <v>39068</v>
      </c>
      <c r="L291" t="s">
        <v>12</v>
      </c>
      <c r="M291" s="3">
        <v>21</v>
      </c>
      <c r="N291" s="2">
        <v>65.343473312315112</v>
      </c>
    </row>
    <row r="292" spans="9:14" x14ac:dyDescent="0.15">
      <c r="I292">
        <v>288</v>
      </c>
      <c r="J292" t="s">
        <v>6</v>
      </c>
      <c r="K292" s="1">
        <v>38606</v>
      </c>
      <c r="L292" t="s">
        <v>13</v>
      </c>
      <c r="M292" s="3">
        <v>-8</v>
      </c>
      <c r="N292" s="2">
        <v>-21.912545800386049</v>
      </c>
    </row>
    <row r="293" spans="9:14" x14ac:dyDescent="0.15">
      <c r="I293">
        <v>289</v>
      </c>
      <c r="J293" t="s">
        <v>0</v>
      </c>
      <c r="K293" s="1">
        <v>38540</v>
      </c>
      <c r="L293" t="s">
        <v>13</v>
      </c>
      <c r="M293" s="3">
        <v>88</v>
      </c>
      <c r="N293" s="2">
        <v>266.0518691009172</v>
      </c>
    </row>
    <row r="294" spans="9:14" x14ac:dyDescent="0.15">
      <c r="I294">
        <v>290</v>
      </c>
      <c r="J294" t="s">
        <v>5</v>
      </c>
      <c r="K294" s="1">
        <v>38672</v>
      </c>
      <c r="L294" t="s">
        <v>9</v>
      </c>
      <c r="M294" s="3">
        <v>94</v>
      </c>
      <c r="N294" s="2">
        <v>283.84678757282279</v>
      </c>
    </row>
    <row r="295" spans="9:14" x14ac:dyDescent="0.15">
      <c r="I295">
        <v>291</v>
      </c>
      <c r="J295" t="s">
        <v>4</v>
      </c>
      <c r="K295" s="1">
        <v>38991</v>
      </c>
      <c r="L295" t="s">
        <v>12</v>
      </c>
      <c r="M295" s="3">
        <v>83</v>
      </c>
      <c r="N295" s="2">
        <v>251.49840546378712</v>
      </c>
    </row>
    <row r="296" spans="9:14" x14ac:dyDescent="0.15">
      <c r="I296">
        <v>292</v>
      </c>
      <c r="J296" t="s">
        <v>6</v>
      </c>
      <c r="K296" s="1">
        <v>38210</v>
      </c>
      <c r="L296" t="s">
        <v>12</v>
      </c>
      <c r="M296" s="3">
        <v>16</v>
      </c>
      <c r="N296" s="2">
        <v>49.955539493154028</v>
      </c>
    </row>
    <row r="297" spans="9:14" x14ac:dyDescent="0.15">
      <c r="I297">
        <v>293</v>
      </c>
      <c r="J297" t="s">
        <v>8</v>
      </c>
      <c r="K297" s="1">
        <v>38936</v>
      </c>
      <c r="L297" t="s">
        <v>12</v>
      </c>
      <c r="M297" s="3">
        <v>33</v>
      </c>
      <c r="N297" s="2">
        <v>100.51753262027832</v>
      </c>
    </row>
    <row r="298" spans="9:14" x14ac:dyDescent="0.15">
      <c r="I298">
        <v>294</v>
      </c>
      <c r="J298" t="s">
        <v>8</v>
      </c>
      <c r="K298" s="1">
        <v>38045</v>
      </c>
      <c r="L298" t="s">
        <v>11</v>
      </c>
      <c r="M298" s="3">
        <v>-1</v>
      </c>
      <c r="N298" s="2">
        <v>-0.90814028681463199</v>
      </c>
    </row>
    <row r="299" spans="9:14" x14ac:dyDescent="0.15">
      <c r="I299">
        <v>295</v>
      </c>
      <c r="J299" t="s">
        <v>8</v>
      </c>
      <c r="K299" s="1">
        <v>38925</v>
      </c>
      <c r="L299" t="s">
        <v>12</v>
      </c>
      <c r="M299" s="3">
        <v>94</v>
      </c>
      <c r="N299" s="2">
        <v>284.13590593464426</v>
      </c>
    </row>
    <row r="300" spans="9:14" x14ac:dyDescent="0.15">
      <c r="I300">
        <v>296</v>
      </c>
      <c r="J300" t="s">
        <v>0</v>
      </c>
      <c r="K300" s="1">
        <v>38463</v>
      </c>
      <c r="L300" t="s">
        <v>9</v>
      </c>
      <c r="M300" s="3">
        <v>76</v>
      </c>
      <c r="N300" s="2">
        <v>230.25557022435729</v>
      </c>
    </row>
    <row r="301" spans="9:14" x14ac:dyDescent="0.15">
      <c r="I301">
        <v>297</v>
      </c>
      <c r="J301" t="s">
        <v>8</v>
      </c>
      <c r="K301" s="1">
        <v>38782</v>
      </c>
      <c r="L301" t="s">
        <v>9</v>
      </c>
      <c r="M301" s="3">
        <v>71</v>
      </c>
      <c r="N301" s="2">
        <v>215.15645769752564</v>
      </c>
    </row>
    <row r="302" spans="9:14" x14ac:dyDescent="0.15">
      <c r="I302">
        <v>298</v>
      </c>
      <c r="J302" t="s">
        <v>4</v>
      </c>
      <c r="K302" s="1">
        <v>38133</v>
      </c>
      <c r="L302" t="s">
        <v>13</v>
      </c>
      <c r="M302" s="3">
        <v>56</v>
      </c>
      <c r="N302" s="2">
        <v>169.19487194523822</v>
      </c>
    </row>
    <row r="303" spans="9:14" x14ac:dyDescent="0.15">
      <c r="I303">
        <v>299</v>
      </c>
      <c r="J303" t="s">
        <v>3</v>
      </c>
      <c r="K303" s="1">
        <v>38595</v>
      </c>
      <c r="L303" t="s">
        <v>10</v>
      </c>
      <c r="M303" s="3">
        <v>81</v>
      </c>
      <c r="N303" s="2">
        <v>245.58577912839797</v>
      </c>
    </row>
    <row r="304" spans="9:14" x14ac:dyDescent="0.15">
      <c r="I304">
        <v>300</v>
      </c>
      <c r="J304" t="s">
        <v>4</v>
      </c>
      <c r="K304" s="1">
        <v>38166</v>
      </c>
      <c r="L304" t="s">
        <v>11</v>
      </c>
      <c r="M304" s="3">
        <v>3</v>
      </c>
      <c r="N304" s="2">
        <v>11.162502018809288</v>
      </c>
    </row>
    <row r="305" spans="9:14" x14ac:dyDescent="0.15">
      <c r="I305">
        <v>301</v>
      </c>
      <c r="J305" t="s">
        <v>4</v>
      </c>
      <c r="K305" s="1">
        <v>38463</v>
      </c>
      <c r="L305" t="s">
        <v>10</v>
      </c>
      <c r="M305" s="3">
        <v>60</v>
      </c>
      <c r="N305" s="2">
        <v>182.21269449394873</v>
      </c>
    </row>
    <row r="306" spans="9:14" x14ac:dyDescent="0.15">
      <c r="I306">
        <v>302</v>
      </c>
      <c r="J306" t="s">
        <v>0</v>
      </c>
      <c r="K306" s="1">
        <v>39013</v>
      </c>
      <c r="L306" t="s">
        <v>9</v>
      </c>
      <c r="M306" s="3">
        <v>81</v>
      </c>
      <c r="N306" s="2">
        <v>245.54232115102224</v>
      </c>
    </row>
    <row r="307" spans="9:14" x14ac:dyDescent="0.15">
      <c r="I307">
        <v>303</v>
      </c>
      <c r="J307" t="s">
        <v>2</v>
      </c>
      <c r="K307" s="1">
        <v>38111</v>
      </c>
      <c r="L307" t="s">
        <v>9</v>
      </c>
      <c r="M307" s="3">
        <v>70</v>
      </c>
      <c r="N307" s="2">
        <v>211.43323649343893</v>
      </c>
    </row>
    <row r="308" spans="9:14" x14ac:dyDescent="0.15">
      <c r="I308">
        <v>304</v>
      </c>
      <c r="J308" t="s">
        <v>7</v>
      </c>
      <c r="K308" s="1">
        <v>38859</v>
      </c>
      <c r="L308" t="s">
        <v>12</v>
      </c>
      <c r="M308" s="3">
        <v>18</v>
      </c>
      <c r="N308" s="2">
        <v>56.272584064658759</v>
      </c>
    </row>
    <row r="309" spans="9:14" x14ac:dyDescent="0.15">
      <c r="I309">
        <v>305</v>
      </c>
      <c r="J309" t="s">
        <v>3</v>
      </c>
      <c r="K309" s="1">
        <v>38397</v>
      </c>
      <c r="L309" t="s">
        <v>13</v>
      </c>
      <c r="M309" s="3">
        <v>73</v>
      </c>
      <c r="N309" s="2">
        <v>221.17007144401961</v>
      </c>
    </row>
    <row r="310" spans="9:14" x14ac:dyDescent="0.15">
      <c r="I310">
        <v>306</v>
      </c>
      <c r="J310" t="s">
        <v>4</v>
      </c>
      <c r="K310" s="1">
        <v>38408</v>
      </c>
      <c r="L310" t="s">
        <v>9</v>
      </c>
      <c r="M310" s="3">
        <v>-7</v>
      </c>
      <c r="N310" s="2">
        <v>-18.782320494671733</v>
      </c>
    </row>
    <row r="311" spans="9:14" x14ac:dyDescent="0.15">
      <c r="I311">
        <v>307</v>
      </c>
      <c r="J311" t="s">
        <v>4</v>
      </c>
      <c r="K311" s="1">
        <v>38584</v>
      </c>
      <c r="L311" t="s">
        <v>9</v>
      </c>
      <c r="M311" s="3">
        <v>55</v>
      </c>
      <c r="N311" s="2">
        <v>166.60609215413587</v>
      </c>
    </row>
    <row r="312" spans="9:14" x14ac:dyDescent="0.15">
      <c r="I312">
        <v>308</v>
      </c>
      <c r="J312" t="s">
        <v>7</v>
      </c>
      <c r="K312" s="1">
        <v>38122</v>
      </c>
      <c r="L312" t="s">
        <v>10</v>
      </c>
      <c r="M312" s="3">
        <v>7</v>
      </c>
      <c r="N312" s="2">
        <v>23.387374937264937</v>
      </c>
    </row>
    <row r="313" spans="9:14" x14ac:dyDescent="0.15">
      <c r="I313">
        <v>309</v>
      </c>
      <c r="J313" t="s">
        <v>7</v>
      </c>
      <c r="K313" s="1">
        <v>38309</v>
      </c>
      <c r="L313" t="s">
        <v>11</v>
      </c>
      <c r="M313" s="3">
        <v>63</v>
      </c>
      <c r="N313" s="2">
        <v>191.44929977621479</v>
      </c>
    </row>
    <row r="314" spans="9:14" x14ac:dyDescent="0.15">
      <c r="I314">
        <v>310</v>
      </c>
      <c r="J314" t="s">
        <v>4</v>
      </c>
      <c r="K314" s="1">
        <v>38540</v>
      </c>
      <c r="L314" t="s">
        <v>10</v>
      </c>
      <c r="M314" s="3">
        <v>83</v>
      </c>
      <c r="N314" s="2">
        <v>251.62937525083981</v>
      </c>
    </row>
    <row r="315" spans="9:14" x14ac:dyDescent="0.15">
      <c r="I315">
        <v>311</v>
      </c>
      <c r="J315" t="s">
        <v>8</v>
      </c>
      <c r="K315" s="1">
        <v>38045</v>
      </c>
      <c r="L315" t="s">
        <v>10</v>
      </c>
      <c r="M315" s="3">
        <v>43</v>
      </c>
      <c r="N315" s="2">
        <v>130.971908096161</v>
      </c>
    </row>
    <row r="316" spans="9:14" x14ac:dyDescent="0.15">
      <c r="I316">
        <v>312</v>
      </c>
      <c r="J316" t="s">
        <v>4</v>
      </c>
      <c r="K316" s="1">
        <v>38199</v>
      </c>
      <c r="L316" t="s">
        <v>11</v>
      </c>
      <c r="M316" s="3">
        <v>67</v>
      </c>
      <c r="N316" s="2">
        <v>203.30298779689218</v>
      </c>
    </row>
    <row r="317" spans="9:14" x14ac:dyDescent="0.15">
      <c r="I317">
        <v>313</v>
      </c>
      <c r="J317" t="s">
        <v>2</v>
      </c>
      <c r="K317" s="1">
        <v>38716</v>
      </c>
      <c r="L317" t="s">
        <v>11</v>
      </c>
      <c r="M317" s="3">
        <v>-9</v>
      </c>
      <c r="N317" s="2">
        <v>-24.966227969201331</v>
      </c>
    </row>
    <row r="318" spans="9:14" x14ac:dyDescent="0.15">
      <c r="I318">
        <v>314</v>
      </c>
      <c r="J318" t="s">
        <v>7</v>
      </c>
      <c r="K318" s="1">
        <v>38166</v>
      </c>
      <c r="L318" t="s">
        <v>9</v>
      </c>
      <c r="M318" s="3">
        <v>-1</v>
      </c>
      <c r="N318" s="2">
        <v>-1.475132378251053</v>
      </c>
    </row>
    <row r="319" spans="9:14" x14ac:dyDescent="0.15">
      <c r="I319">
        <v>315</v>
      </c>
      <c r="J319" t="s">
        <v>8</v>
      </c>
      <c r="K319" s="1">
        <v>38364</v>
      </c>
      <c r="L319" t="s">
        <v>9</v>
      </c>
      <c r="M319" s="3">
        <v>21</v>
      </c>
      <c r="N319" s="2">
        <v>65.196598797725159</v>
      </c>
    </row>
    <row r="320" spans="9:14" x14ac:dyDescent="0.15">
      <c r="I320">
        <v>316</v>
      </c>
      <c r="J320" t="s">
        <v>1</v>
      </c>
      <c r="K320" s="1">
        <v>38661</v>
      </c>
      <c r="L320" t="s">
        <v>12</v>
      </c>
      <c r="M320" s="3">
        <v>6</v>
      </c>
      <c r="N320" s="2">
        <v>20.103063549411871</v>
      </c>
    </row>
    <row r="321" spans="9:14" x14ac:dyDescent="0.15">
      <c r="I321">
        <v>317</v>
      </c>
      <c r="J321" t="s">
        <v>1</v>
      </c>
      <c r="K321" s="1">
        <v>38001</v>
      </c>
      <c r="L321" t="s">
        <v>11</v>
      </c>
      <c r="M321" s="3">
        <v>0</v>
      </c>
      <c r="N321" s="2">
        <v>1.6052060341349688</v>
      </c>
    </row>
    <row r="322" spans="9:14" x14ac:dyDescent="0.15">
      <c r="I322">
        <v>318</v>
      </c>
      <c r="J322" t="s">
        <v>0</v>
      </c>
      <c r="K322" s="1">
        <v>38276</v>
      </c>
      <c r="L322" t="s">
        <v>11</v>
      </c>
      <c r="M322" s="3">
        <v>20</v>
      </c>
      <c r="N322" s="2">
        <v>61.994811968474004</v>
      </c>
    </row>
    <row r="323" spans="9:14" x14ac:dyDescent="0.15">
      <c r="I323">
        <v>319</v>
      </c>
      <c r="J323" t="s">
        <v>6</v>
      </c>
      <c r="K323" s="1">
        <v>38298</v>
      </c>
      <c r="L323" t="s">
        <v>9</v>
      </c>
      <c r="M323" s="3">
        <v>70</v>
      </c>
      <c r="N323" s="2">
        <v>212.50263306463722</v>
      </c>
    </row>
    <row r="324" spans="9:14" x14ac:dyDescent="0.15">
      <c r="I324">
        <v>320</v>
      </c>
      <c r="J324" t="s">
        <v>0</v>
      </c>
      <c r="K324" s="1">
        <v>38122</v>
      </c>
      <c r="L324" t="s">
        <v>11</v>
      </c>
      <c r="M324" s="3">
        <v>94</v>
      </c>
      <c r="N324" s="2">
        <v>283.88166832886924</v>
      </c>
    </row>
    <row r="325" spans="9:14" x14ac:dyDescent="0.15">
      <c r="I325">
        <v>321</v>
      </c>
      <c r="J325" t="s">
        <v>3</v>
      </c>
      <c r="K325" s="1">
        <v>38276</v>
      </c>
      <c r="L325" t="s">
        <v>10</v>
      </c>
      <c r="M325" s="3">
        <v>9</v>
      </c>
      <c r="N325" s="2">
        <v>28.830512766101304</v>
      </c>
    </row>
    <row r="326" spans="9:14" x14ac:dyDescent="0.15">
      <c r="I326">
        <v>322</v>
      </c>
      <c r="J326" t="s">
        <v>0</v>
      </c>
      <c r="K326" s="1">
        <v>38529</v>
      </c>
      <c r="L326" t="s">
        <v>12</v>
      </c>
      <c r="M326" s="3">
        <v>27</v>
      </c>
      <c r="N326" s="2">
        <v>83.64015403043436</v>
      </c>
    </row>
    <row r="327" spans="9:14" x14ac:dyDescent="0.15">
      <c r="I327">
        <v>323</v>
      </c>
      <c r="J327" t="s">
        <v>2</v>
      </c>
      <c r="K327" s="1">
        <v>38793</v>
      </c>
      <c r="L327" t="s">
        <v>13</v>
      </c>
      <c r="M327" s="3">
        <v>43</v>
      </c>
      <c r="N327" s="2">
        <v>130.94656180680516</v>
      </c>
    </row>
    <row r="328" spans="9:14" x14ac:dyDescent="0.15">
      <c r="I328">
        <v>324</v>
      </c>
      <c r="J328" t="s">
        <v>5</v>
      </c>
      <c r="K328" s="1">
        <v>38980</v>
      </c>
      <c r="L328" t="s">
        <v>9</v>
      </c>
      <c r="M328" s="3">
        <v>84</v>
      </c>
      <c r="N328" s="2">
        <v>254.38984191598573</v>
      </c>
    </row>
    <row r="329" spans="9:14" x14ac:dyDescent="0.15">
      <c r="I329">
        <v>325</v>
      </c>
      <c r="J329" t="s">
        <v>3</v>
      </c>
      <c r="K329" s="1">
        <v>38144</v>
      </c>
      <c r="L329" t="s">
        <v>11</v>
      </c>
      <c r="M329" s="3">
        <v>83</v>
      </c>
      <c r="N329" s="2">
        <v>251.63175698562648</v>
      </c>
    </row>
    <row r="330" spans="9:14" x14ac:dyDescent="0.15">
      <c r="I330">
        <v>326</v>
      </c>
      <c r="J330" t="s">
        <v>3</v>
      </c>
      <c r="K330" s="1">
        <v>38210</v>
      </c>
      <c r="L330" t="s">
        <v>13</v>
      </c>
      <c r="M330" s="3">
        <v>89</v>
      </c>
      <c r="N330" s="2">
        <v>268.67182931807514</v>
      </c>
    </row>
    <row r="331" spans="9:14" x14ac:dyDescent="0.15">
      <c r="I331">
        <v>327</v>
      </c>
      <c r="J331" t="s">
        <v>5</v>
      </c>
      <c r="K331" s="1">
        <v>39002</v>
      </c>
      <c r="L331" t="s">
        <v>10</v>
      </c>
      <c r="M331" s="3">
        <v>7</v>
      </c>
      <c r="N331" s="2">
        <v>22.668540241379059</v>
      </c>
    </row>
    <row r="332" spans="9:14" x14ac:dyDescent="0.15">
      <c r="I332">
        <v>328</v>
      </c>
      <c r="J332" t="s">
        <v>3</v>
      </c>
      <c r="K332" s="1">
        <v>38177</v>
      </c>
      <c r="L332" t="s">
        <v>9</v>
      </c>
      <c r="M332" s="3">
        <v>68</v>
      </c>
      <c r="N332" s="2">
        <v>205.75644454699685</v>
      </c>
    </row>
    <row r="333" spans="9:14" x14ac:dyDescent="0.15">
      <c r="I333">
        <v>329</v>
      </c>
      <c r="J333" t="s">
        <v>5</v>
      </c>
      <c r="K333" s="1">
        <v>38639</v>
      </c>
      <c r="L333" t="s">
        <v>11</v>
      </c>
      <c r="M333" s="3">
        <v>38</v>
      </c>
      <c r="N333" s="2">
        <v>116.14288251700734</v>
      </c>
    </row>
    <row r="334" spans="9:14" x14ac:dyDescent="0.15">
      <c r="I334">
        <v>330</v>
      </c>
      <c r="J334" t="s">
        <v>7</v>
      </c>
      <c r="K334" s="1">
        <v>38012</v>
      </c>
      <c r="L334" t="s">
        <v>11</v>
      </c>
      <c r="M334" s="3">
        <v>90</v>
      </c>
      <c r="N334" s="2">
        <v>271.3332095451583</v>
      </c>
    </row>
    <row r="335" spans="9:14" x14ac:dyDescent="0.15">
      <c r="I335">
        <v>331</v>
      </c>
      <c r="J335" t="s">
        <v>7</v>
      </c>
      <c r="K335" s="1">
        <v>38210</v>
      </c>
      <c r="L335" t="s">
        <v>11</v>
      </c>
      <c r="M335" s="3">
        <v>10</v>
      </c>
      <c r="N335" s="2">
        <v>31.740063454597557</v>
      </c>
    </row>
    <row r="336" spans="9:14" x14ac:dyDescent="0.15">
      <c r="I336">
        <v>332</v>
      </c>
      <c r="J336" t="s">
        <v>1</v>
      </c>
      <c r="K336" s="1">
        <v>39024</v>
      </c>
      <c r="L336" t="s">
        <v>9</v>
      </c>
      <c r="M336" s="3">
        <v>13</v>
      </c>
      <c r="N336" s="2">
        <v>40.182824201163783</v>
      </c>
    </row>
    <row r="337" spans="9:14" x14ac:dyDescent="0.15">
      <c r="I337">
        <v>333</v>
      </c>
      <c r="J337" t="s">
        <v>0</v>
      </c>
      <c r="K337" s="1">
        <v>38155</v>
      </c>
      <c r="L337" t="s">
        <v>10</v>
      </c>
      <c r="M337" s="3">
        <v>68</v>
      </c>
      <c r="N337" s="2">
        <v>206.37862292228638</v>
      </c>
    </row>
    <row r="338" spans="9:14" x14ac:dyDescent="0.15">
      <c r="I338">
        <v>334</v>
      </c>
      <c r="J338" t="s">
        <v>4</v>
      </c>
      <c r="K338" s="1">
        <v>38144</v>
      </c>
      <c r="L338" t="s">
        <v>9</v>
      </c>
      <c r="M338" s="3">
        <v>40</v>
      </c>
      <c r="N338" s="2">
        <v>122.17079112578179</v>
      </c>
    </row>
    <row r="339" spans="9:14" x14ac:dyDescent="0.15">
      <c r="I339">
        <v>335</v>
      </c>
      <c r="J339" t="s">
        <v>0</v>
      </c>
      <c r="K339" s="1">
        <v>38507</v>
      </c>
      <c r="L339" t="s">
        <v>9</v>
      </c>
      <c r="M339" s="3">
        <v>17</v>
      </c>
      <c r="N339" s="2">
        <v>52.575815801836917</v>
      </c>
    </row>
    <row r="340" spans="9:14" x14ac:dyDescent="0.15">
      <c r="I340">
        <v>336</v>
      </c>
      <c r="J340" t="s">
        <v>1</v>
      </c>
      <c r="K340" s="1">
        <v>38320</v>
      </c>
      <c r="L340" t="s">
        <v>9</v>
      </c>
      <c r="M340" s="3">
        <v>6</v>
      </c>
      <c r="N340" s="2">
        <v>19.233532374060513</v>
      </c>
    </row>
    <row r="341" spans="9:14" x14ac:dyDescent="0.15">
      <c r="I341">
        <v>337</v>
      </c>
      <c r="J341" t="s">
        <v>1</v>
      </c>
      <c r="K341" s="1">
        <v>38848</v>
      </c>
      <c r="L341" t="s">
        <v>9</v>
      </c>
      <c r="M341" s="3">
        <v>27</v>
      </c>
      <c r="N341" s="2">
        <v>83.786086457485794</v>
      </c>
    </row>
    <row r="342" spans="9:14" x14ac:dyDescent="0.15">
      <c r="I342">
        <v>338</v>
      </c>
      <c r="J342" t="s">
        <v>4</v>
      </c>
      <c r="K342" s="1">
        <v>38925</v>
      </c>
      <c r="L342" t="s">
        <v>9</v>
      </c>
      <c r="M342" s="3">
        <v>80</v>
      </c>
      <c r="N342" s="2">
        <v>242.1940649977725</v>
      </c>
    </row>
    <row r="343" spans="9:14" x14ac:dyDescent="0.15">
      <c r="I343">
        <v>339</v>
      </c>
      <c r="J343" t="s">
        <v>2</v>
      </c>
      <c r="K343" s="1">
        <v>38210</v>
      </c>
      <c r="L343" t="s">
        <v>12</v>
      </c>
      <c r="M343" s="3">
        <v>-1</v>
      </c>
      <c r="N343" s="2">
        <v>-0.92679798413568193</v>
      </c>
    </row>
    <row r="344" spans="9:14" x14ac:dyDescent="0.15">
      <c r="I344">
        <v>340</v>
      </c>
      <c r="J344" t="s">
        <v>3</v>
      </c>
      <c r="K344" s="1">
        <v>38804</v>
      </c>
      <c r="L344" t="s">
        <v>12</v>
      </c>
      <c r="M344" s="3">
        <v>89</v>
      </c>
      <c r="N344" s="2">
        <v>269.26351673512869</v>
      </c>
    </row>
    <row r="345" spans="9:14" x14ac:dyDescent="0.15">
      <c r="I345">
        <v>341</v>
      </c>
      <c r="J345" t="s">
        <v>3</v>
      </c>
      <c r="K345" s="1">
        <v>38441</v>
      </c>
      <c r="L345" t="s">
        <v>11</v>
      </c>
      <c r="M345" s="3">
        <v>21</v>
      </c>
      <c r="N345" s="2">
        <v>65.224154633884041</v>
      </c>
    </row>
    <row r="346" spans="9:14" x14ac:dyDescent="0.15">
      <c r="I346">
        <v>342</v>
      </c>
      <c r="J346" t="s">
        <v>1</v>
      </c>
      <c r="K346" s="1">
        <v>39068</v>
      </c>
      <c r="L346" t="s">
        <v>10</v>
      </c>
      <c r="M346" s="3">
        <v>37</v>
      </c>
      <c r="N346" s="2">
        <v>113.11652988941213</v>
      </c>
    </row>
    <row r="347" spans="9:14" x14ac:dyDescent="0.15">
      <c r="I347">
        <v>343</v>
      </c>
      <c r="J347" t="s">
        <v>2</v>
      </c>
      <c r="K347" s="1">
        <v>38397</v>
      </c>
      <c r="L347" t="s">
        <v>13</v>
      </c>
      <c r="M347" s="3">
        <v>15</v>
      </c>
      <c r="N347" s="2">
        <v>46.637898863261832</v>
      </c>
    </row>
    <row r="348" spans="9:14" x14ac:dyDescent="0.15">
      <c r="I348">
        <v>344</v>
      </c>
      <c r="J348" t="s">
        <v>6</v>
      </c>
      <c r="K348" s="1">
        <v>38133</v>
      </c>
      <c r="L348" t="s">
        <v>12</v>
      </c>
      <c r="M348" s="3">
        <v>94</v>
      </c>
      <c r="N348" s="2">
        <v>283.62009758002927</v>
      </c>
    </row>
    <row r="349" spans="9:14" x14ac:dyDescent="0.15">
      <c r="I349">
        <v>345</v>
      </c>
      <c r="J349" t="s">
        <v>7</v>
      </c>
      <c r="K349" s="1">
        <v>38551</v>
      </c>
      <c r="L349" t="s">
        <v>12</v>
      </c>
      <c r="M349" s="3">
        <v>85</v>
      </c>
      <c r="N349" s="2">
        <v>257.28530472715238</v>
      </c>
    </row>
    <row r="350" spans="9:14" x14ac:dyDescent="0.15">
      <c r="I350">
        <v>346</v>
      </c>
      <c r="J350" t="s">
        <v>2</v>
      </c>
      <c r="K350" s="1">
        <v>38309</v>
      </c>
      <c r="L350" t="s">
        <v>10</v>
      </c>
      <c r="M350" s="3">
        <v>95</v>
      </c>
      <c r="N350" s="2">
        <v>286.86402627293558</v>
      </c>
    </row>
    <row r="351" spans="9:14" x14ac:dyDescent="0.15">
      <c r="I351">
        <v>347</v>
      </c>
      <c r="J351" t="s">
        <v>5</v>
      </c>
      <c r="K351" s="1">
        <v>38496</v>
      </c>
      <c r="L351" t="s">
        <v>13</v>
      </c>
      <c r="M351" s="3">
        <v>25</v>
      </c>
      <c r="N351" s="2">
        <v>76.368933708358369</v>
      </c>
    </row>
    <row r="352" spans="9:14" x14ac:dyDescent="0.15">
      <c r="I352">
        <v>348</v>
      </c>
      <c r="J352" t="s">
        <v>3</v>
      </c>
      <c r="K352" s="1">
        <v>38826</v>
      </c>
      <c r="L352" t="s">
        <v>12</v>
      </c>
      <c r="M352" s="3">
        <v>69</v>
      </c>
      <c r="N352" s="2">
        <v>208.60710544458851</v>
      </c>
    </row>
    <row r="353" spans="9:14" x14ac:dyDescent="0.15">
      <c r="I353">
        <v>349</v>
      </c>
      <c r="J353" t="s">
        <v>0</v>
      </c>
      <c r="K353" s="1">
        <v>38595</v>
      </c>
      <c r="L353" t="s">
        <v>9</v>
      </c>
      <c r="M353" s="3">
        <v>72</v>
      </c>
      <c r="N353" s="2">
        <v>218.66914833137886</v>
      </c>
    </row>
    <row r="354" spans="9:14" x14ac:dyDescent="0.15">
      <c r="I354">
        <v>350</v>
      </c>
      <c r="J354" t="s">
        <v>4</v>
      </c>
      <c r="K354" s="1">
        <v>38760</v>
      </c>
      <c r="L354" t="s">
        <v>13</v>
      </c>
      <c r="M354" s="3">
        <v>-4</v>
      </c>
      <c r="N354" s="2">
        <v>-9.5040489301123898</v>
      </c>
    </row>
    <row r="355" spans="9:14" x14ac:dyDescent="0.15">
      <c r="I355">
        <v>351</v>
      </c>
      <c r="J355" t="s">
        <v>2</v>
      </c>
      <c r="K355" s="1">
        <v>38529</v>
      </c>
      <c r="L355" t="s">
        <v>13</v>
      </c>
      <c r="M355" s="3">
        <v>21</v>
      </c>
      <c r="N355" s="2">
        <v>64.847838929147329</v>
      </c>
    </row>
    <row r="356" spans="9:14" x14ac:dyDescent="0.15">
      <c r="I356">
        <v>352</v>
      </c>
      <c r="J356" t="s">
        <v>2</v>
      </c>
      <c r="K356" s="1">
        <v>38364</v>
      </c>
      <c r="L356" t="s">
        <v>11</v>
      </c>
      <c r="M356" s="3">
        <v>85</v>
      </c>
      <c r="N356" s="2">
        <v>256.96799909003533</v>
      </c>
    </row>
    <row r="357" spans="9:14" x14ac:dyDescent="0.15">
      <c r="I357">
        <v>353</v>
      </c>
      <c r="J357" t="s">
        <v>5</v>
      </c>
      <c r="K357" s="1">
        <v>38606</v>
      </c>
      <c r="L357" t="s">
        <v>11</v>
      </c>
      <c r="M357" s="3">
        <v>85</v>
      </c>
      <c r="N357" s="2">
        <v>257.09598807037378</v>
      </c>
    </row>
    <row r="358" spans="9:14" x14ac:dyDescent="0.15">
      <c r="I358">
        <v>354</v>
      </c>
      <c r="J358" t="s">
        <v>6</v>
      </c>
      <c r="K358" s="1">
        <v>38639</v>
      </c>
      <c r="L358" t="s">
        <v>10</v>
      </c>
      <c r="M358" s="3">
        <v>79</v>
      </c>
      <c r="N358" s="2">
        <v>239.75589662492749</v>
      </c>
    </row>
    <row r="359" spans="9:14" x14ac:dyDescent="0.15">
      <c r="I359">
        <v>355</v>
      </c>
      <c r="J359" t="s">
        <v>0</v>
      </c>
      <c r="K359" s="1">
        <v>38969</v>
      </c>
      <c r="L359" t="s">
        <v>10</v>
      </c>
      <c r="M359" s="3">
        <v>81</v>
      </c>
      <c r="N359" s="2">
        <v>245.01127594931819</v>
      </c>
    </row>
    <row r="360" spans="9:14" x14ac:dyDescent="0.15">
      <c r="I360">
        <v>356</v>
      </c>
      <c r="J360" t="s">
        <v>6</v>
      </c>
      <c r="K360" s="1">
        <v>38958</v>
      </c>
      <c r="L360" t="s">
        <v>11</v>
      </c>
      <c r="M360" s="3">
        <v>76</v>
      </c>
      <c r="N360" s="2">
        <v>229.57757100656295</v>
      </c>
    </row>
    <row r="361" spans="9:14" x14ac:dyDescent="0.15">
      <c r="I361">
        <v>357</v>
      </c>
      <c r="J361" t="s">
        <v>6</v>
      </c>
      <c r="K361" s="1">
        <v>38518</v>
      </c>
      <c r="L361" t="s">
        <v>10</v>
      </c>
      <c r="M361" s="3">
        <v>31</v>
      </c>
      <c r="N361" s="2">
        <v>95.411837871052697</v>
      </c>
    </row>
    <row r="362" spans="9:14" x14ac:dyDescent="0.15">
      <c r="I362">
        <v>358</v>
      </c>
      <c r="J362" t="s">
        <v>4</v>
      </c>
      <c r="K362" s="1">
        <v>38617</v>
      </c>
      <c r="L362" t="s">
        <v>11</v>
      </c>
      <c r="M362" s="3">
        <v>44</v>
      </c>
      <c r="N362" s="2">
        <v>133.84155746359221</v>
      </c>
    </row>
    <row r="363" spans="9:14" x14ac:dyDescent="0.15">
      <c r="I363">
        <v>359</v>
      </c>
      <c r="J363" t="s">
        <v>8</v>
      </c>
      <c r="K363" s="1">
        <v>39068</v>
      </c>
      <c r="L363" t="s">
        <v>13</v>
      </c>
      <c r="M363" s="3">
        <v>44</v>
      </c>
      <c r="N363" s="2">
        <v>133.90724137081764</v>
      </c>
    </row>
    <row r="364" spans="9:14" x14ac:dyDescent="0.15">
      <c r="I364">
        <v>360</v>
      </c>
      <c r="J364" t="s">
        <v>1</v>
      </c>
      <c r="K364" s="1">
        <v>38133</v>
      </c>
      <c r="L364" t="s">
        <v>12</v>
      </c>
      <c r="M364" s="3">
        <v>70</v>
      </c>
      <c r="N364" s="2">
        <v>211.68588054687572</v>
      </c>
    </row>
    <row r="365" spans="9:14" x14ac:dyDescent="0.15">
      <c r="I365">
        <v>361</v>
      </c>
      <c r="J365" t="s">
        <v>1</v>
      </c>
      <c r="K365" s="1">
        <v>38320</v>
      </c>
      <c r="L365" t="s">
        <v>9</v>
      </c>
      <c r="M365" s="3">
        <v>-4</v>
      </c>
      <c r="N365" s="2">
        <v>-9.4531080152815825</v>
      </c>
    </row>
    <row r="366" spans="9:14" x14ac:dyDescent="0.15">
      <c r="I366">
        <v>362</v>
      </c>
      <c r="J366" t="s">
        <v>0</v>
      </c>
      <c r="K366" s="1">
        <v>38672</v>
      </c>
      <c r="L366" t="s">
        <v>10</v>
      </c>
      <c r="M366" s="3">
        <v>28</v>
      </c>
      <c r="N366" s="2">
        <v>86.334638190049276</v>
      </c>
    </row>
    <row r="367" spans="9:14" x14ac:dyDescent="0.15">
      <c r="I367">
        <v>363</v>
      </c>
      <c r="J367" t="s">
        <v>6</v>
      </c>
      <c r="K367" s="1">
        <v>39002</v>
      </c>
      <c r="L367" t="s">
        <v>12</v>
      </c>
      <c r="M367" s="3">
        <v>83</v>
      </c>
      <c r="N367" s="2">
        <v>250.60923862889706</v>
      </c>
    </row>
    <row r="368" spans="9:14" x14ac:dyDescent="0.15">
      <c r="I368">
        <v>364</v>
      </c>
      <c r="J368" t="s">
        <v>7</v>
      </c>
      <c r="K368" s="1">
        <v>38903</v>
      </c>
      <c r="L368" t="s">
        <v>10</v>
      </c>
      <c r="M368" s="3">
        <v>46</v>
      </c>
      <c r="N368" s="2">
        <v>140.47993678432567</v>
      </c>
    </row>
    <row r="369" spans="9:14" x14ac:dyDescent="0.15">
      <c r="I369">
        <v>365</v>
      </c>
      <c r="J369" t="s">
        <v>0</v>
      </c>
      <c r="K369" s="1">
        <v>38859</v>
      </c>
      <c r="L369" t="s">
        <v>10</v>
      </c>
      <c r="M369" s="3">
        <v>88</v>
      </c>
      <c r="N369" s="2">
        <v>266.35125676130951</v>
      </c>
    </row>
    <row r="370" spans="9:14" x14ac:dyDescent="0.15">
      <c r="I370">
        <v>366</v>
      </c>
      <c r="J370" t="s">
        <v>5</v>
      </c>
      <c r="K370" s="1">
        <v>38639</v>
      </c>
      <c r="L370" t="s">
        <v>10</v>
      </c>
      <c r="M370" s="3">
        <v>-9</v>
      </c>
      <c r="N370" s="2">
        <v>-24.537461299444743</v>
      </c>
    </row>
    <row r="371" spans="9:14" x14ac:dyDescent="0.15">
      <c r="I371">
        <v>367</v>
      </c>
      <c r="J371" t="s">
        <v>3</v>
      </c>
      <c r="K371" s="1">
        <v>38573</v>
      </c>
      <c r="L371" t="s">
        <v>9</v>
      </c>
      <c r="M371" s="3">
        <v>-8</v>
      </c>
      <c r="N371" s="2">
        <v>-21.825357589950652</v>
      </c>
    </row>
    <row r="372" spans="9:14" x14ac:dyDescent="0.15">
      <c r="I372">
        <v>368</v>
      </c>
      <c r="J372" t="s">
        <v>2</v>
      </c>
      <c r="K372" s="1">
        <v>38903</v>
      </c>
      <c r="L372" t="s">
        <v>9</v>
      </c>
      <c r="M372" s="3">
        <v>37</v>
      </c>
      <c r="N372" s="2">
        <v>113.0101592216552</v>
      </c>
    </row>
    <row r="373" spans="9:14" x14ac:dyDescent="0.15">
      <c r="I373">
        <v>369</v>
      </c>
      <c r="J373" t="s">
        <v>3</v>
      </c>
      <c r="K373" s="1">
        <v>38045</v>
      </c>
      <c r="L373" t="s">
        <v>9</v>
      </c>
      <c r="M373" s="3">
        <v>20</v>
      </c>
      <c r="N373" s="2">
        <v>61.67879282842005</v>
      </c>
    </row>
    <row r="374" spans="9:14" x14ac:dyDescent="0.15">
      <c r="I374">
        <v>370</v>
      </c>
      <c r="J374" t="s">
        <v>1</v>
      </c>
      <c r="K374" s="1">
        <v>38606</v>
      </c>
      <c r="L374" t="s">
        <v>10</v>
      </c>
      <c r="M374" s="3">
        <v>2</v>
      </c>
      <c r="N374" s="2">
        <v>7.7509272810830456</v>
      </c>
    </row>
    <row r="375" spans="9:14" x14ac:dyDescent="0.15">
      <c r="I375">
        <v>371</v>
      </c>
      <c r="J375" t="s">
        <v>6</v>
      </c>
      <c r="K375" s="1">
        <v>38584</v>
      </c>
      <c r="L375" t="s">
        <v>11</v>
      </c>
      <c r="M375" s="3">
        <v>36</v>
      </c>
      <c r="N375" s="2">
        <v>110.59418125988078</v>
      </c>
    </row>
    <row r="376" spans="9:14" x14ac:dyDescent="0.15">
      <c r="I376">
        <v>372</v>
      </c>
      <c r="J376" t="s">
        <v>6</v>
      </c>
      <c r="K376" s="1">
        <v>38628</v>
      </c>
      <c r="L376" t="s">
        <v>12</v>
      </c>
      <c r="M376" s="3">
        <v>34</v>
      </c>
      <c r="N376" s="2">
        <v>103.88965096458593</v>
      </c>
    </row>
    <row r="377" spans="9:14" x14ac:dyDescent="0.15">
      <c r="I377">
        <v>373</v>
      </c>
      <c r="J377" t="s">
        <v>7</v>
      </c>
      <c r="K377" s="1">
        <v>38837</v>
      </c>
      <c r="L377" t="s">
        <v>11</v>
      </c>
      <c r="M377" s="3">
        <v>84</v>
      </c>
      <c r="N377" s="2">
        <v>253.89322061575038</v>
      </c>
    </row>
    <row r="378" spans="9:14" x14ac:dyDescent="0.15">
      <c r="I378">
        <v>374</v>
      </c>
      <c r="J378" t="s">
        <v>3</v>
      </c>
      <c r="K378" s="1">
        <v>38947</v>
      </c>
      <c r="L378" t="s">
        <v>12</v>
      </c>
      <c r="M378" s="3">
        <v>89</v>
      </c>
      <c r="N378" s="2">
        <v>268.47594870423103</v>
      </c>
    </row>
    <row r="379" spans="9:14" x14ac:dyDescent="0.15">
      <c r="I379">
        <v>375</v>
      </c>
      <c r="J379" t="s">
        <v>4</v>
      </c>
      <c r="K379" s="1">
        <v>38749</v>
      </c>
      <c r="L379" t="s">
        <v>10</v>
      </c>
      <c r="M379" s="3">
        <v>31</v>
      </c>
      <c r="N379" s="2">
        <v>95.680691267513808</v>
      </c>
    </row>
    <row r="380" spans="9:14" x14ac:dyDescent="0.15">
      <c r="I380">
        <v>376</v>
      </c>
      <c r="J380" t="s">
        <v>7</v>
      </c>
      <c r="K380" s="1">
        <v>38067</v>
      </c>
      <c r="L380" t="s">
        <v>10</v>
      </c>
      <c r="M380" s="3">
        <v>7</v>
      </c>
      <c r="N380" s="2">
        <v>22.545863255239365</v>
      </c>
    </row>
    <row r="381" spans="9:14" x14ac:dyDescent="0.15">
      <c r="I381">
        <v>377</v>
      </c>
      <c r="J381" t="s">
        <v>3</v>
      </c>
      <c r="K381" s="1">
        <v>38023</v>
      </c>
      <c r="L381" t="s">
        <v>10</v>
      </c>
      <c r="M381" s="3">
        <v>7</v>
      </c>
      <c r="N381" s="2">
        <v>22.939193343037168</v>
      </c>
    </row>
    <row r="382" spans="9:14" x14ac:dyDescent="0.15">
      <c r="I382">
        <v>378</v>
      </c>
      <c r="J382" t="s">
        <v>5</v>
      </c>
      <c r="K382" s="1">
        <v>38771</v>
      </c>
      <c r="L382" t="s">
        <v>11</v>
      </c>
      <c r="M382" s="3">
        <v>76</v>
      </c>
      <c r="N382" s="2">
        <v>229.89259006043184</v>
      </c>
    </row>
    <row r="383" spans="9:14" x14ac:dyDescent="0.15">
      <c r="I383">
        <v>379</v>
      </c>
      <c r="J383" t="s">
        <v>4</v>
      </c>
      <c r="K383" s="1">
        <v>38199</v>
      </c>
      <c r="L383" t="s">
        <v>9</v>
      </c>
      <c r="M383" s="3">
        <v>6</v>
      </c>
      <c r="N383" s="2">
        <v>19.561017308486775</v>
      </c>
    </row>
    <row r="384" spans="9:14" x14ac:dyDescent="0.15">
      <c r="I384">
        <v>380</v>
      </c>
      <c r="J384" t="s">
        <v>1</v>
      </c>
      <c r="K384" s="1">
        <v>39013</v>
      </c>
      <c r="L384" t="s">
        <v>10</v>
      </c>
      <c r="M384" s="3">
        <v>43</v>
      </c>
      <c r="N384" s="2">
        <v>130.28590210776713</v>
      </c>
    </row>
    <row r="385" spans="9:14" x14ac:dyDescent="0.15">
      <c r="I385">
        <v>381</v>
      </c>
      <c r="J385" t="s">
        <v>7</v>
      </c>
      <c r="K385" s="1">
        <v>38001</v>
      </c>
      <c r="L385" t="s">
        <v>12</v>
      </c>
      <c r="M385" s="3">
        <v>20</v>
      </c>
      <c r="N385" s="2">
        <v>62.18277208256027</v>
      </c>
    </row>
    <row r="386" spans="9:14" x14ac:dyDescent="0.15">
      <c r="I386">
        <v>382</v>
      </c>
      <c r="J386" t="s">
        <v>4</v>
      </c>
      <c r="K386" s="1">
        <v>38793</v>
      </c>
      <c r="L386" t="s">
        <v>13</v>
      </c>
      <c r="M386" s="3">
        <v>11</v>
      </c>
      <c r="N386" s="2">
        <v>35.076818705440886</v>
      </c>
    </row>
    <row r="387" spans="9:14" x14ac:dyDescent="0.15">
      <c r="I387">
        <v>383</v>
      </c>
      <c r="J387" t="s">
        <v>0</v>
      </c>
      <c r="K387" s="1">
        <v>38529</v>
      </c>
      <c r="L387" t="s">
        <v>11</v>
      </c>
      <c r="M387" s="3">
        <v>35</v>
      </c>
      <c r="N387" s="2">
        <v>107.05323824700537</v>
      </c>
    </row>
    <row r="388" spans="9:14" x14ac:dyDescent="0.15">
      <c r="I388">
        <v>384</v>
      </c>
      <c r="J388" t="s">
        <v>5</v>
      </c>
      <c r="K388" s="1">
        <v>38793</v>
      </c>
      <c r="L388" t="s">
        <v>9</v>
      </c>
      <c r="M388" s="3">
        <v>72</v>
      </c>
      <c r="N388" s="2">
        <v>218.15023917907857</v>
      </c>
    </row>
    <row r="389" spans="9:14" x14ac:dyDescent="0.15">
      <c r="I389">
        <v>385</v>
      </c>
      <c r="J389" t="s">
        <v>7</v>
      </c>
      <c r="K389" s="1">
        <v>38133</v>
      </c>
      <c r="L389" t="s">
        <v>9</v>
      </c>
      <c r="M389" s="3">
        <v>49</v>
      </c>
      <c r="N389" s="2">
        <v>148.92692975074797</v>
      </c>
    </row>
    <row r="390" spans="9:14" x14ac:dyDescent="0.15">
      <c r="I390">
        <v>386</v>
      </c>
      <c r="J390" t="s">
        <v>0</v>
      </c>
      <c r="K390" s="1">
        <v>38782</v>
      </c>
      <c r="L390" t="s">
        <v>9</v>
      </c>
      <c r="M390" s="3">
        <v>88</v>
      </c>
      <c r="N390" s="2">
        <v>266.64631383797939</v>
      </c>
    </row>
    <row r="391" spans="9:14" x14ac:dyDescent="0.15">
      <c r="I391">
        <v>387</v>
      </c>
      <c r="J391" t="s">
        <v>6</v>
      </c>
      <c r="K391" s="1">
        <v>38804</v>
      </c>
      <c r="L391" t="s">
        <v>9</v>
      </c>
      <c r="M391" s="3">
        <v>45</v>
      </c>
      <c r="N391" s="2">
        <v>136.00734165157533</v>
      </c>
    </row>
    <row r="392" spans="9:14" x14ac:dyDescent="0.15">
      <c r="I392">
        <v>388</v>
      </c>
      <c r="J392" t="s">
        <v>6</v>
      </c>
      <c r="K392" s="1">
        <v>38067</v>
      </c>
      <c r="L392" t="s">
        <v>10</v>
      </c>
      <c r="M392" s="3">
        <v>37</v>
      </c>
      <c r="N392" s="2">
        <v>112.92900415721101</v>
      </c>
    </row>
    <row r="393" spans="9:14" x14ac:dyDescent="0.15">
      <c r="I393">
        <v>389</v>
      </c>
      <c r="J393" t="s">
        <v>2</v>
      </c>
      <c r="K393" s="1">
        <v>38452</v>
      </c>
      <c r="L393" t="s">
        <v>10</v>
      </c>
      <c r="M393" s="3">
        <v>12</v>
      </c>
      <c r="N393" s="2">
        <v>38.618337900456311</v>
      </c>
    </row>
    <row r="394" spans="9:14" x14ac:dyDescent="0.15">
      <c r="I394">
        <v>390</v>
      </c>
      <c r="J394" t="s">
        <v>0</v>
      </c>
      <c r="K394" s="1">
        <v>38122</v>
      </c>
      <c r="L394" t="s">
        <v>12</v>
      </c>
      <c r="M394" s="3">
        <v>18</v>
      </c>
      <c r="N394" s="2">
        <v>55.932067779481031</v>
      </c>
    </row>
    <row r="395" spans="9:14" x14ac:dyDescent="0.15">
      <c r="I395">
        <v>391</v>
      </c>
      <c r="J395" t="s">
        <v>3</v>
      </c>
      <c r="K395" s="1">
        <v>38738</v>
      </c>
      <c r="L395" t="s">
        <v>10</v>
      </c>
      <c r="M395" s="3">
        <v>75</v>
      </c>
      <c r="N395" s="2">
        <v>226.99796556311475</v>
      </c>
    </row>
    <row r="396" spans="9:14" x14ac:dyDescent="0.15">
      <c r="I396">
        <v>392</v>
      </c>
      <c r="J396" t="s">
        <v>0</v>
      </c>
      <c r="K396" s="1">
        <v>38408</v>
      </c>
      <c r="L396" t="s">
        <v>9</v>
      </c>
      <c r="M396" s="3">
        <v>8</v>
      </c>
      <c r="N396" s="2">
        <v>26.314204821327241</v>
      </c>
    </row>
    <row r="397" spans="9:14" x14ac:dyDescent="0.15">
      <c r="I397">
        <v>393</v>
      </c>
      <c r="J397" t="s">
        <v>8</v>
      </c>
      <c r="K397" s="1">
        <v>38078</v>
      </c>
      <c r="L397" t="s">
        <v>10</v>
      </c>
      <c r="M397" s="3">
        <v>37</v>
      </c>
      <c r="N397" s="2">
        <v>112.53534248627696</v>
      </c>
    </row>
    <row r="398" spans="9:14" x14ac:dyDescent="0.15">
      <c r="I398">
        <v>394</v>
      </c>
      <c r="J398" t="s">
        <v>6</v>
      </c>
      <c r="K398" s="1">
        <v>38342</v>
      </c>
      <c r="L398" t="s">
        <v>10</v>
      </c>
      <c r="M398" s="3">
        <v>-6</v>
      </c>
      <c r="N398" s="2">
        <v>-16.412365818215765</v>
      </c>
    </row>
    <row r="399" spans="9:14" x14ac:dyDescent="0.15">
      <c r="I399">
        <v>395</v>
      </c>
      <c r="J399" t="s">
        <v>8</v>
      </c>
      <c r="K399" s="1">
        <v>38122</v>
      </c>
      <c r="L399" t="s">
        <v>13</v>
      </c>
      <c r="M399" s="3">
        <v>56</v>
      </c>
      <c r="N399" s="2">
        <v>169.27515470165261</v>
      </c>
    </row>
    <row r="400" spans="9:14" x14ac:dyDescent="0.15">
      <c r="I400">
        <v>396</v>
      </c>
      <c r="J400" t="s">
        <v>0</v>
      </c>
      <c r="K400" s="1">
        <v>38331</v>
      </c>
      <c r="L400" t="s">
        <v>11</v>
      </c>
      <c r="M400" s="3">
        <v>53</v>
      </c>
      <c r="N400" s="2">
        <v>161.32546557795675</v>
      </c>
    </row>
    <row r="401" spans="9:14" x14ac:dyDescent="0.15">
      <c r="I401">
        <v>397</v>
      </c>
      <c r="J401" t="s">
        <v>1</v>
      </c>
      <c r="K401" s="1">
        <v>38133</v>
      </c>
      <c r="L401" t="s">
        <v>10</v>
      </c>
      <c r="M401" s="3">
        <v>62</v>
      </c>
      <c r="N401" s="2">
        <v>187.71993550398903</v>
      </c>
    </row>
    <row r="402" spans="9:14" x14ac:dyDescent="0.15">
      <c r="I402">
        <v>398</v>
      </c>
      <c r="J402" t="s">
        <v>6</v>
      </c>
      <c r="K402" s="1">
        <v>38441</v>
      </c>
      <c r="L402" t="s">
        <v>12</v>
      </c>
      <c r="M402" s="3">
        <v>90</v>
      </c>
      <c r="N402" s="2">
        <v>271.30519777626336</v>
      </c>
    </row>
    <row r="403" spans="9:14" x14ac:dyDescent="0.15">
      <c r="I403">
        <v>399</v>
      </c>
      <c r="J403" t="s">
        <v>6</v>
      </c>
      <c r="K403" s="1">
        <v>38001</v>
      </c>
      <c r="L403" t="s">
        <v>11</v>
      </c>
      <c r="M403" s="3">
        <v>30</v>
      </c>
      <c r="N403" s="2">
        <v>92.293324121451917</v>
      </c>
    </row>
    <row r="404" spans="9:14" x14ac:dyDescent="0.15">
      <c r="I404">
        <v>400</v>
      </c>
      <c r="J404" t="s">
        <v>2</v>
      </c>
      <c r="K404" s="1">
        <v>38397</v>
      </c>
      <c r="L404" t="s">
        <v>9</v>
      </c>
      <c r="M404" s="3">
        <v>36</v>
      </c>
      <c r="N404" s="2">
        <v>110.39391248869612</v>
      </c>
    </row>
    <row r="405" spans="9:14" x14ac:dyDescent="0.15">
      <c r="I405">
        <v>401</v>
      </c>
      <c r="J405" t="s">
        <v>1</v>
      </c>
      <c r="K405" s="1">
        <v>38419</v>
      </c>
      <c r="L405" t="s">
        <v>11</v>
      </c>
      <c r="M405" s="3">
        <v>76</v>
      </c>
      <c r="N405" s="2">
        <v>230.11911772178482</v>
      </c>
    </row>
    <row r="406" spans="9:14" x14ac:dyDescent="0.15">
      <c r="I406">
        <v>402</v>
      </c>
      <c r="J406" t="s">
        <v>5</v>
      </c>
      <c r="K406" s="1">
        <v>38452</v>
      </c>
      <c r="L406" t="s">
        <v>10</v>
      </c>
      <c r="M406" s="3">
        <v>-4</v>
      </c>
      <c r="N406" s="2">
        <v>-10.045852408088738</v>
      </c>
    </row>
    <row r="407" spans="9:14" x14ac:dyDescent="0.15">
      <c r="I407">
        <v>403</v>
      </c>
      <c r="J407" t="s">
        <v>2</v>
      </c>
      <c r="K407" s="1">
        <v>38331</v>
      </c>
      <c r="L407" t="s">
        <v>13</v>
      </c>
      <c r="M407" s="3">
        <v>26</v>
      </c>
      <c r="N407" s="2">
        <v>80.067286712333498</v>
      </c>
    </row>
    <row r="408" spans="9:14" x14ac:dyDescent="0.15">
      <c r="I408">
        <v>404</v>
      </c>
      <c r="J408" t="s">
        <v>1</v>
      </c>
      <c r="K408" s="1">
        <v>38485</v>
      </c>
      <c r="L408" t="s">
        <v>10</v>
      </c>
      <c r="M408" s="3">
        <v>-5</v>
      </c>
      <c r="N408" s="2">
        <v>-12.799843018696107</v>
      </c>
    </row>
    <row r="409" spans="9:14" x14ac:dyDescent="0.15">
      <c r="I409">
        <v>405</v>
      </c>
      <c r="J409" t="s">
        <v>4</v>
      </c>
      <c r="K409" s="1">
        <v>38111</v>
      </c>
      <c r="L409" t="s">
        <v>9</v>
      </c>
      <c r="M409" s="3">
        <v>44</v>
      </c>
      <c r="N409" s="2">
        <v>133.92031416884828</v>
      </c>
    </row>
    <row r="410" spans="9:14" x14ac:dyDescent="0.15">
      <c r="I410">
        <v>406</v>
      </c>
      <c r="J410" t="s">
        <v>2</v>
      </c>
      <c r="K410" s="1">
        <v>38034</v>
      </c>
      <c r="L410" t="s">
        <v>12</v>
      </c>
      <c r="M410" s="3">
        <v>91</v>
      </c>
      <c r="N410" s="2">
        <v>274.81127367201924</v>
      </c>
    </row>
    <row r="411" spans="9:14" x14ac:dyDescent="0.15">
      <c r="I411">
        <v>407</v>
      </c>
      <c r="J411" t="s">
        <v>5</v>
      </c>
      <c r="K411" s="1">
        <v>38056</v>
      </c>
      <c r="L411" t="s">
        <v>10</v>
      </c>
      <c r="M411" s="3">
        <v>78</v>
      </c>
      <c r="N411" s="2">
        <v>235.98595343131922</v>
      </c>
    </row>
    <row r="412" spans="9:14" x14ac:dyDescent="0.15">
      <c r="I412">
        <v>408</v>
      </c>
      <c r="J412" t="s">
        <v>0</v>
      </c>
      <c r="K412" s="1">
        <v>38859</v>
      </c>
      <c r="L412" t="s">
        <v>10</v>
      </c>
      <c r="M412" s="3">
        <v>69</v>
      </c>
      <c r="N412" s="2">
        <v>208.58962786585158</v>
      </c>
    </row>
    <row r="413" spans="9:14" x14ac:dyDescent="0.15">
      <c r="I413">
        <v>409</v>
      </c>
      <c r="J413" t="s">
        <v>8</v>
      </c>
      <c r="K413" s="1">
        <v>38276</v>
      </c>
      <c r="L413" t="s">
        <v>12</v>
      </c>
      <c r="M413" s="3">
        <v>74</v>
      </c>
      <c r="N413" s="2">
        <v>224.0430547727791</v>
      </c>
    </row>
    <row r="414" spans="9:14" x14ac:dyDescent="0.15">
      <c r="I414">
        <v>410</v>
      </c>
      <c r="J414" t="s">
        <v>4</v>
      </c>
      <c r="K414" s="1">
        <v>38562</v>
      </c>
      <c r="L414" t="s">
        <v>9</v>
      </c>
      <c r="M414" s="3">
        <v>71</v>
      </c>
      <c r="N414" s="2">
        <v>215.12402518996404</v>
      </c>
    </row>
    <row r="415" spans="9:14" x14ac:dyDescent="0.15">
      <c r="I415">
        <v>411</v>
      </c>
      <c r="J415" t="s">
        <v>8</v>
      </c>
      <c r="K415" s="1">
        <v>38969</v>
      </c>
      <c r="L415" t="s">
        <v>13</v>
      </c>
      <c r="M415" s="3">
        <v>34</v>
      </c>
      <c r="N415" s="2">
        <v>103.84939593855748</v>
      </c>
    </row>
    <row r="416" spans="9:14" x14ac:dyDescent="0.15">
      <c r="I416">
        <v>412</v>
      </c>
      <c r="J416" t="s">
        <v>0</v>
      </c>
      <c r="K416" s="1">
        <v>38507</v>
      </c>
      <c r="L416" t="s">
        <v>12</v>
      </c>
      <c r="M416" s="3">
        <v>93</v>
      </c>
      <c r="N416" s="2">
        <v>281.17054419951137</v>
      </c>
    </row>
    <row r="417" spans="9:14" x14ac:dyDescent="0.15">
      <c r="I417">
        <v>413</v>
      </c>
      <c r="J417" t="s">
        <v>3</v>
      </c>
      <c r="K417" s="1">
        <v>38408</v>
      </c>
      <c r="L417" t="s">
        <v>9</v>
      </c>
      <c r="M417" s="3">
        <v>60</v>
      </c>
      <c r="N417" s="2">
        <v>182.60959965033061</v>
      </c>
    </row>
    <row r="418" spans="9:14" x14ac:dyDescent="0.15">
      <c r="I418">
        <v>414</v>
      </c>
      <c r="J418" t="s">
        <v>7</v>
      </c>
      <c r="K418" s="1">
        <v>38100</v>
      </c>
      <c r="L418" t="s">
        <v>9</v>
      </c>
      <c r="M418" s="3">
        <v>37</v>
      </c>
      <c r="N418" s="2">
        <v>112.43397722732024</v>
      </c>
    </row>
    <row r="419" spans="9:14" x14ac:dyDescent="0.15">
      <c r="I419">
        <v>415</v>
      </c>
      <c r="J419" t="s">
        <v>0</v>
      </c>
      <c r="K419" s="1">
        <v>38166</v>
      </c>
      <c r="L419" t="s">
        <v>11</v>
      </c>
      <c r="M419" s="3">
        <v>26</v>
      </c>
      <c r="N419" s="2">
        <v>79.913804333123736</v>
      </c>
    </row>
    <row r="420" spans="9:14" x14ac:dyDescent="0.15">
      <c r="I420">
        <v>416</v>
      </c>
      <c r="J420" t="s">
        <v>4</v>
      </c>
      <c r="K420" s="1">
        <v>38540</v>
      </c>
      <c r="L420" t="s">
        <v>11</v>
      </c>
      <c r="M420" s="3">
        <v>2</v>
      </c>
      <c r="N420" s="2">
        <v>8.5397555339606015</v>
      </c>
    </row>
    <row r="421" spans="9:14" x14ac:dyDescent="0.15">
      <c r="I421">
        <v>417</v>
      </c>
      <c r="J421" t="s">
        <v>1</v>
      </c>
      <c r="K421" s="1">
        <v>38628</v>
      </c>
      <c r="L421" t="s">
        <v>9</v>
      </c>
      <c r="M421" s="3">
        <v>-9</v>
      </c>
      <c r="N421" s="2">
        <v>-25.920453761182117</v>
      </c>
    </row>
    <row r="422" spans="9:14" x14ac:dyDescent="0.15">
      <c r="I422">
        <v>418</v>
      </c>
      <c r="J422" t="s">
        <v>8</v>
      </c>
      <c r="K422" s="1">
        <v>38771</v>
      </c>
      <c r="L422" t="s">
        <v>9</v>
      </c>
      <c r="M422" s="3">
        <v>46</v>
      </c>
      <c r="N422" s="2">
        <v>139.68753059266518</v>
      </c>
    </row>
    <row r="423" spans="9:14" x14ac:dyDescent="0.15">
      <c r="I423">
        <v>419</v>
      </c>
      <c r="J423" t="s">
        <v>1</v>
      </c>
      <c r="K423" s="1">
        <v>38056</v>
      </c>
      <c r="L423" t="s">
        <v>12</v>
      </c>
      <c r="M423" s="3">
        <v>0</v>
      </c>
      <c r="N423" s="2">
        <v>2.3470477551262947</v>
      </c>
    </row>
    <row r="424" spans="9:14" x14ac:dyDescent="0.15">
      <c r="I424">
        <v>420</v>
      </c>
      <c r="J424" t="s">
        <v>3</v>
      </c>
      <c r="K424" s="1">
        <v>38320</v>
      </c>
      <c r="L424" t="s">
        <v>9</v>
      </c>
      <c r="M424" s="3">
        <v>79</v>
      </c>
      <c r="N424" s="2">
        <v>239.2208514522392</v>
      </c>
    </row>
    <row r="425" spans="9:14" x14ac:dyDescent="0.15">
      <c r="I425">
        <v>421</v>
      </c>
      <c r="J425" t="s">
        <v>6</v>
      </c>
      <c r="K425" s="1">
        <v>38364</v>
      </c>
      <c r="L425" t="s">
        <v>9</v>
      </c>
      <c r="M425" s="3">
        <v>48</v>
      </c>
      <c r="N425" s="2">
        <v>146.50697859164157</v>
      </c>
    </row>
    <row r="426" spans="9:14" x14ac:dyDescent="0.15">
      <c r="I426">
        <v>422</v>
      </c>
      <c r="J426" t="s">
        <v>4</v>
      </c>
      <c r="K426" s="1">
        <v>38738</v>
      </c>
      <c r="L426" t="s">
        <v>11</v>
      </c>
      <c r="M426" s="3">
        <v>77</v>
      </c>
      <c r="N426" s="2">
        <v>233.0800910699262</v>
      </c>
    </row>
    <row r="427" spans="9:14" x14ac:dyDescent="0.15">
      <c r="I427">
        <v>423</v>
      </c>
      <c r="J427" t="s">
        <v>0</v>
      </c>
      <c r="K427" s="1">
        <v>38760</v>
      </c>
      <c r="L427" t="s">
        <v>9</v>
      </c>
      <c r="M427" s="3">
        <v>-10</v>
      </c>
      <c r="N427" s="2">
        <v>-26.967932789902449</v>
      </c>
    </row>
    <row r="428" spans="9:14" x14ac:dyDescent="0.15">
      <c r="I428">
        <v>424</v>
      </c>
      <c r="J428" t="s">
        <v>8</v>
      </c>
      <c r="K428" s="1">
        <v>38573</v>
      </c>
      <c r="L428" t="s">
        <v>13</v>
      </c>
      <c r="M428" s="3">
        <v>45</v>
      </c>
      <c r="N428" s="2">
        <v>137.23163667167327</v>
      </c>
    </row>
    <row r="429" spans="9:14" x14ac:dyDescent="0.15">
      <c r="I429">
        <v>425</v>
      </c>
      <c r="J429" t="s">
        <v>2</v>
      </c>
      <c r="K429" s="1">
        <v>38375</v>
      </c>
      <c r="L429" t="s">
        <v>9</v>
      </c>
      <c r="M429" s="3">
        <v>17</v>
      </c>
      <c r="N429" s="2">
        <v>53.565793196028118</v>
      </c>
    </row>
    <row r="430" spans="9:14" x14ac:dyDescent="0.15">
      <c r="I430">
        <v>426</v>
      </c>
      <c r="J430" t="s">
        <v>0</v>
      </c>
      <c r="K430" s="1">
        <v>38584</v>
      </c>
      <c r="L430" t="s">
        <v>11</v>
      </c>
      <c r="M430" s="3">
        <v>-4</v>
      </c>
      <c r="N430" s="2">
        <v>-10.36408331456853</v>
      </c>
    </row>
    <row r="431" spans="9:14" x14ac:dyDescent="0.15">
      <c r="I431">
        <v>427</v>
      </c>
      <c r="J431" t="s">
        <v>4</v>
      </c>
      <c r="K431" s="1">
        <v>39068</v>
      </c>
      <c r="L431" t="s">
        <v>12</v>
      </c>
      <c r="M431" s="3">
        <v>43</v>
      </c>
      <c r="N431" s="2">
        <v>130.80350038976189</v>
      </c>
    </row>
    <row r="432" spans="9:14" x14ac:dyDescent="0.15">
      <c r="I432">
        <v>428</v>
      </c>
      <c r="J432" t="s">
        <v>2</v>
      </c>
      <c r="K432" s="1">
        <v>38265</v>
      </c>
      <c r="L432" t="s">
        <v>11</v>
      </c>
      <c r="M432" s="3">
        <v>41</v>
      </c>
      <c r="N432" s="2">
        <v>125.18937528559893</v>
      </c>
    </row>
    <row r="433" spans="9:14" x14ac:dyDescent="0.15">
      <c r="I433">
        <v>429</v>
      </c>
      <c r="J433" t="s">
        <v>0</v>
      </c>
      <c r="K433" s="1">
        <v>38892</v>
      </c>
      <c r="L433" t="s">
        <v>13</v>
      </c>
      <c r="M433" s="3">
        <v>-4</v>
      </c>
      <c r="N433" s="2">
        <v>-9.8762446340450722</v>
      </c>
    </row>
    <row r="434" spans="9:14" x14ac:dyDescent="0.15">
      <c r="I434">
        <v>430</v>
      </c>
      <c r="J434" t="s">
        <v>5</v>
      </c>
      <c r="K434" s="1">
        <v>38243</v>
      </c>
      <c r="L434" t="s">
        <v>9</v>
      </c>
      <c r="M434" s="3">
        <v>6</v>
      </c>
      <c r="N434" s="2">
        <v>20.388215317654449</v>
      </c>
    </row>
    <row r="435" spans="9:14" x14ac:dyDescent="0.15">
      <c r="I435">
        <v>431</v>
      </c>
      <c r="J435" t="s">
        <v>6</v>
      </c>
      <c r="K435" s="1">
        <v>38848</v>
      </c>
      <c r="L435" t="s">
        <v>9</v>
      </c>
      <c r="M435" s="3">
        <v>8</v>
      </c>
      <c r="N435" s="2">
        <v>25.124465791488021</v>
      </c>
    </row>
    <row r="436" spans="9:14" x14ac:dyDescent="0.15">
      <c r="I436">
        <v>432</v>
      </c>
      <c r="J436" t="s">
        <v>3</v>
      </c>
      <c r="K436" s="1">
        <v>38177</v>
      </c>
      <c r="L436" t="s">
        <v>11</v>
      </c>
      <c r="M436" s="3">
        <v>43</v>
      </c>
      <c r="N436" s="2">
        <v>131.20326238549768</v>
      </c>
    </row>
    <row r="437" spans="9:14" x14ac:dyDescent="0.15">
      <c r="I437">
        <v>433</v>
      </c>
      <c r="J437" t="s">
        <v>8</v>
      </c>
      <c r="K437" s="1">
        <v>38144</v>
      </c>
      <c r="L437" t="s">
        <v>11</v>
      </c>
      <c r="M437" s="3">
        <v>47</v>
      </c>
      <c r="N437" s="2">
        <v>142.67305731753257</v>
      </c>
    </row>
    <row r="438" spans="9:14" x14ac:dyDescent="0.15">
      <c r="I438">
        <v>434</v>
      </c>
      <c r="J438" t="s">
        <v>3</v>
      </c>
      <c r="K438" s="1">
        <v>38947</v>
      </c>
      <c r="L438" t="s">
        <v>10</v>
      </c>
      <c r="M438" s="3">
        <v>13</v>
      </c>
      <c r="N438" s="2">
        <v>41.344467136527072</v>
      </c>
    </row>
    <row r="439" spans="9:14" x14ac:dyDescent="0.15">
      <c r="I439">
        <v>435</v>
      </c>
      <c r="J439" t="s">
        <v>0</v>
      </c>
      <c r="K439" s="1">
        <v>38749</v>
      </c>
      <c r="L439" t="s">
        <v>9</v>
      </c>
      <c r="M439" s="3">
        <v>9</v>
      </c>
      <c r="N439" s="2">
        <v>28.804240494297932</v>
      </c>
    </row>
    <row r="440" spans="9:14" x14ac:dyDescent="0.15">
      <c r="I440">
        <v>436</v>
      </c>
      <c r="J440" t="s">
        <v>8</v>
      </c>
      <c r="K440" s="1">
        <v>38045</v>
      </c>
      <c r="L440" t="s">
        <v>11</v>
      </c>
      <c r="M440" s="3">
        <v>22</v>
      </c>
      <c r="N440" s="2">
        <v>67.510047922862512</v>
      </c>
    </row>
    <row r="441" spans="9:14" x14ac:dyDescent="0.15">
      <c r="I441">
        <v>437</v>
      </c>
      <c r="J441" t="s">
        <v>4</v>
      </c>
      <c r="K441" s="1">
        <v>38793</v>
      </c>
      <c r="L441" t="s">
        <v>11</v>
      </c>
      <c r="M441" s="3">
        <v>87</v>
      </c>
      <c r="N441" s="2">
        <v>263.06877286650899</v>
      </c>
    </row>
    <row r="442" spans="9:14" x14ac:dyDescent="0.15">
      <c r="I442">
        <v>438</v>
      </c>
      <c r="J442" t="s">
        <v>1</v>
      </c>
      <c r="K442" s="1">
        <v>39013</v>
      </c>
      <c r="L442" t="s">
        <v>9</v>
      </c>
      <c r="M442" s="3">
        <v>15</v>
      </c>
      <c r="N442" s="2">
        <v>46.297252141958666</v>
      </c>
    </row>
    <row r="443" spans="9:14" x14ac:dyDescent="0.15">
      <c r="I443">
        <v>439</v>
      </c>
      <c r="J443" t="s">
        <v>7</v>
      </c>
      <c r="K443" s="1">
        <v>39013</v>
      </c>
      <c r="L443" t="s">
        <v>11</v>
      </c>
      <c r="M443" s="3">
        <v>27</v>
      </c>
      <c r="N443" s="2">
        <v>83.407614775333784</v>
      </c>
    </row>
    <row r="444" spans="9:14" x14ac:dyDescent="0.15">
      <c r="I444">
        <v>440</v>
      </c>
      <c r="J444" t="s">
        <v>2</v>
      </c>
      <c r="K444" s="1">
        <v>38837</v>
      </c>
      <c r="L444" t="s">
        <v>13</v>
      </c>
      <c r="M444" s="3">
        <v>78</v>
      </c>
      <c r="N444" s="2">
        <v>236.44426202228297</v>
      </c>
    </row>
    <row r="445" spans="9:14" x14ac:dyDescent="0.15">
      <c r="I445">
        <v>441</v>
      </c>
      <c r="J445" t="s">
        <v>7</v>
      </c>
      <c r="K445" s="1">
        <v>38430</v>
      </c>
      <c r="L445" t="s">
        <v>12</v>
      </c>
      <c r="M445" s="3">
        <v>27</v>
      </c>
      <c r="N445" s="2">
        <v>82.997777309268898</v>
      </c>
    </row>
    <row r="446" spans="9:14" x14ac:dyDescent="0.15">
      <c r="I446">
        <v>442</v>
      </c>
      <c r="J446" t="s">
        <v>7</v>
      </c>
      <c r="K446" s="1">
        <v>38012</v>
      </c>
      <c r="L446" t="s">
        <v>9</v>
      </c>
      <c r="M446" s="3">
        <v>19</v>
      </c>
      <c r="N446" s="2">
        <v>59.621865554565929</v>
      </c>
    </row>
    <row r="447" spans="9:14" x14ac:dyDescent="0.15">
      <c r="I447">
        <v>443</v>
      </c>
      <c r="J447" t="s">
        <v>6</v>
      </c>
      <c r="K447" s="1">
        <v>38034</v>
      </c>
      <c r="L447" t="s">
        <v>12</v>
      </c>
      <c r="M447" s="3">
        <v>0</v>
      </c>
      <c r="N447" s="2">
        <v>2.3705199513077329</v>
      </c>
    </row>
    <row r="448" spans="9:14" x14ac:dyDescent="0.15">
      <c r="I448">
        <v>444</v>
      </c>
      <c r="J448" t="s">
        <v>8</v>
      </c>
      <c r="K448" s="1">
        <v>38331</v>
      </c>
      <c r="L448" t="s">
        <v>11</v>
      </c>
      <c r="M448" s="3">
        <v>30</v>
      </c>
      <c r="N448" s="2">
        <v>91.969621588308584</v>
      </c>
    </row>
    <row r="449" spans="9:14" x14ac:dyDescent="0.15">
      <c r="I449">
        <v>445</v>
      </c>
      <c r="J449" t="s">
        <v>1</v>
      </c>
      <c r="K449" s="1">
        <v>38936</v>
      </c>
      <c r="L449" t="s">
        <v>13</v>
      </c>
      <c r="M449" s="3">
        <v>17</v>
      </c>
      <c r="N449" s="2">
        <v>52.938579538531904</v>
      </c>
    </row>
    <row r="450" spans="9:14" x14ac:dyDescent="0.15">
      <c r="I450">
        <v>446</v>
      </c>
      <c r="J450" t="s">
        <v>3</v>
      </c>
      <c r="K450" s="1">
        <v>38507</v>
      </c>
      <c r="L450" t="s">
        <v>10</v>
      </c>
      <c r="M450" s="3">
        <v>36</v>
      </c>
      <c r="N450" s="2">
        <v>109.95144430067725</v>
      </c>
    </row>
    <row r="451" spans="9:14" x14ac:dyDescent="0.15">
      <c r="I451">
        <v>447</v>
      </c>
      <c r="J451" t="s">
        <v>3</v>
      </c>
      <c r="K451" s="1">
        <v>38738</v>
      </c>
      <c r="L451" t="s">
        <v>9</v>
      </c>
      <c r="M451" s="3">
        <v>-4</v>
      </c>
      <c r="N451" s="2">
        <v>-10.242938195130456</v>
      </c>
    </row>
    <row r="452" spans="9:14" x14ac:dyDescent="0.15">
      <c r="I452">
        <v>448</v>
      </c>
      <c r="J452" t="s">
        <v>7</v>
      </c>
      <c r="K452" s="1">
        <v>38001</v>
      </c>
      <c r="L452" t="s">
        <v>12</v>
      </c>
      <c r="M452" s="3">
        <v>4</v>
      </c>
      <c r="N452" s="2">
        <v>14.170380845910964</v>
      </c>
    </row>
    <row r="453" spans="9:14" x14ac:dyDescent="0.15">
      <c r="I453">
        <v>449</v>
      </c>
      <c r="J453" t="s">
        <v>6</v>
      </c>
      <c r="K453" s="1">
        <v>38144</v>
      </c>
      <c r="L453" t="s">
        <v>11</v>
      </c>
      <c r="M453" s="3">
        <v>81</v>
      </c>
      <c r="N453" s="2">
        <v>244.97499865385612</v>
      </c>
    </row>
    <row r="454" spans="9:14" x14ac:dyDescent="0.15">
      <c r="I454">
        <v>450</v>
      </c>
      <c r="J454" t="s">
        <v>1</v>
      </c>
      <c r="K454" s="1">
        <v>38342</v>
      </c>
      <c r="L454" t="s">
        <v>11</v>
      </c>
      <c r="M454" s="3">
        <v>87</v>
      </c>
      <c r="N454" s="2">
        <v>263.83037846281559</v>
      </c>
    </row>
    <row r="455" spans="9:14" x14ac:dyDescent="0.15">
      <c r="I455">
        <v>451</v>
      </c>
      <c r="J455" t="s">
        <v>8</v>
      </c>
      <c r="K455" s="1">
        <v>38023</v>
      </c>
      <c r="L455" t="s">
        <v>11</v>
      </c>
      <c r="M455" s="3">
        <v>13</v>
      </c>
      <c r="N455" s="2">
        <v>40.507831778483222</v>
      </c>
    </row>
    <row r="456" spans="9:14" x14ac:dyDescent="0.15">
      <c r="I456">
        <v>452</v>
      </c>
      <c r="J456" t="s">
        <v>4</v>
      </c>
      <c r="K456" s="1">
        <v>38111</v>
      </c>
      <c r="L456" t="s">
        <v>10</v>
      </c>
      <c r="M456" s="3">
        <v>48</v>
      </c>
      <c r="N456" s="2">
        <v>145.84691044279441</v>
      </c>
    </row>
    <row r="457" spans="9:14" x14ac:dyDescent="0.15">
      <c r="I457">
        <v>453</v>
      </c>
      <c r="J457" t="s">
        <v>8</v>
      </c>
      <c r="K457" s="1">
        <v>38628</v>
      </c>
      <c r="L457" t="s">
        <v>13</v>
      </c>
      <c r="M457" s="3">
        <v>2</v>
      </c>
      <c r="N457" s="2">
        <v>7.0981331873476012</v>
      </c>
    </row>
    <row r="458" spans="9:14" x14ac:dyDescent="0.15">
      <c r="I458">
        <v>454</v>
      </c>
      <c r="J458" t="s">
        <v>0</v>
      </c>
      <c r="K458" s="1">
        <v>38155</v>
      </c>
      <c r="L458" t="s">
        <v>10</v>
      </c>
      <c r="M458" s="3">
        <v>32</v>
      </c>
      <c r="N458" s="2">
        <v>98.366647965700452</v>
      </c>
    </row>
    <row r="459" spans="9:14" x14ac:dyDescent="0.15">
      <c r="I459">
        <v>455</v>
      </c>
      <c r="J459" t="s">
        <v>6</v>
      </c>
      <c r="K459" s="1">
        <v>38595</v>
      </c>
      <c r="L459" t="s">
        <v>10</v>
      </c>
      <c r="M459" s="3">
        <v>13</v>
      </c>
      <c r="N459" s="2">
        <v>41.16877365274803</v>
      </c>
    </row>
    <row r="460" spans="9:14" x14ac:dyDescent="0.15">
      <c r="I460">
        <v>456</v>
      </c>
      <c r="J460" t="s">
        <v>7</v>
      </c>
      <c r="K460" s="1">
        <v>38991</v>
      </c>
      <c r="L460" t="s">
        <v>12</v>
      </c>
      <c r="M460" s="3">
        <v>94</v>
      </c>
      <c r="N460" s="2">
        <v>283.45251417423401</v>
      </c>
    </row>
    <row r="461" spans="9:14" x14ac:dyDescent="0.15">
      <c r="I461">
        <v>457</v>
      </c>
      <c r="J461" t="s">
        <v>0</v>
      </c>
      <c r="K461" s="1">
        <v>38782</v>
      </c>
      <c r="L461" t="s">
        <v>12</v>
      </c>
      <c r="M461" s="3">
        <v>63</v>
      </c>
      <c r="N461" s="2">
        <v>190.83724952198969</v>
      </c>
    </row>
    <row r="462" spans="9:14" x14ac:dyDescent="0.15">
      <c r="I462">
        <v>458</v>
      </c>
      <c r="J462" t="s">
        <v>4</v>
      </c>
      <c r="K462" s="1">
        <v>38881</v>
      </c>
      <c r="L462" t="s">
        <v>9</v>
      </c>
      <c r="M462" s="3">
        <v>45</v>
      </c>
      <c r="N462" s="2">
        <v>136.97942653814263</v>
      </c>
    </row>
    <row r="463" spans="9:14" x14ac:dyDescent="0.15">
      <c r="I463">
        <v>459</v>
      </c>
      <c r="J463" t="s">
        <v>2</v>
      </c>
      <c r="K463" s="1">
        <v>38452</v>
      </c>
      <c r="L463" t="s">
        <v>12</v>
      </c>
      <c r="M463" s="3">
        <v>71</v>
      </c>
      <c r="N463" s="2">
        <v>214.76898776471646</v>
      </c>
    </row>
    <row r="464" spans="9:14" x14ac:dyDescent="0.15">
      <c r="I464">
        <v>460</v>
      </c>
      <c r="J464" t="s">
        <v>2</v>
      </c>
      <c r="K464" s="1">
        <v>38100</v>
      </c>
      <c r="L464" t="s">
        <v>12</v>
      </c>
      <c r="M464" s="3">
        <v>74</v>
      </c>
      <c r="N464" s="2">
        <v>224.18238847872837</v>
      </c>
    </row>
    <row r="465" spans="9:14" x14ac:dyDescent="0.15">
      <c r="I465">
        <v>461</v>
      </c>
      <c r="J465" t="s">
        <v>6</v>
      </c>
      <c r="K465" s="1">
        <v>38012</v>
      </c>
      <c r="L465" t="s">
        <v>12</v>
      </c>
      <c r="M465" s="3">
        <v>48</v>
      </c>
      <c r="N465" s="2">
        <v>145.64951342948135</v>
      </c>
    </row>
    <row r="466" spans="9:14" x14ac:dyDescent="0.15">
      <c r="I466">
        <v>462</v>
      </c>
      <c r="J466" t="s">
        <v>1</v>
      </c>
      <c r="K466" s="1">
        <v>38045</v>
      </c>
      <c r="L466" t="s">
        <v>10</v>
      </c>
      <c r="M466" s="3">
        <v>63</v>
      </c>
      <c r="N466" s="2">
        <v>191.1884163928766</v>
      </c>
    </row>
    <row r="467" spans="9:14" x14ac:dyDescent="0.15">
      <c r="I467">
        <v>463</v>
      </c>
      <c r="J467" t="s">
        <v>2</v>
      </c>
      <c r="K467" s="1">
        <v>38463</v>
      </c>
      <c r="L467" t="s">
        <v>10</v>
      </c>
      <c r="M467" s="3">
        <v>48</v>
      </c>
      <c r="N467" s="2">
        <v>145.69127497854927</v>
      </c>
    </row>
    <row r="468" spans="9:14" x14ac:dyDescent="0.15">
      <c r="I468">
        <v>464</v>
      </c>
      <c r="J468" t="s">
        <v>3</v>
      </c>
      <c r="K468" s="1">
        <v>38958</v>
      </c>
      <c r="L468" t="s">
        <v>12</v>
      </c>
      <c r="M468" s="3">
        <v>26</v>
      </c>
      <c r="N468" s="2">
        <v>80.6144268681997</v>
      </c>
    </row>
    <row r="469" spans="9:14" x14ac:dyDescent="0.15">
      <c r="I469">
        <v>465</v>
      </c>
      <c r="J469" t="s">
        <v>6</v>
      </c>
      <c r="K469" s="1">
        <v>38881</v>
      </c>
      <c r="L469" t="s">
        <v>11</v>
      </c>
      <c r="M469" s="3">
        <v>58</v>
      </c>
      <c r="N469" s="2">
        <v>176.26520049915879</v>
      </c>
    </row>
    <row r="470" spans="9:14" x14ac:dyDescent="0.15">
      <c r="I470">
        <v>466</v>
      </c>
      <c r="J470" t="s">
        <v>4</v>
      </c>
      <c r="K470" s="1">
        <v>38760</v>
      </c>
      <c r="L470" t="s">
        <v>10</v>
      </c>
      <c r="M470" s="3">
        <v>2</v>
      </c>
      <c r="N470" s="2">
        <v>8.7479494068217463</v>
      </c>
    </row>
    <row r="471" spans="9:14" x14ac:dyDescent="0.15">
      <c r="I471">
        <v>467</v>
      </c>
      <c r="J471" t="s">
        <v>2</v>
      </c>
      <c r="K471" s="1">
        <v>38936</v>
      </c>
      <c r="L471" t="s">
        <v>10</v>
      </c>
      <c r="M471" s="3">
        <v>36</v>
      </c>
      <c r="N471" s="2">
        <v>109.67661001591094</v>
      </c>
    </row>
    <row r="472" spans="9:14" x14ac:dyDescent="0.15">
      <c r="I472">
        <v>468</v>
      </c>
      <c r="J472" t="s">
        <v>7</v>
      </c>
      <c r="K472" s="1">
        <v>38529</v>
      </c>
      <c r="L472" t="s">
        <v>12</v>
      </c>
      <c r="M472" s="3">
        <v>22</v>
      </c>
      <c r="N472" s="2">
        <v>68.355074793823817</v>
      </c>
    </row>
    <row r="473" spans="9:14" x14ac:dyDescent="0.15">
      <c r="I473">
        <v>469</v>
      </c>
      <c r="J473" t="s">
        <v>7</v>
      </c>
      <c r="K473" s="1">
        <v>38573</v>
      </c>
      <c r="L473" t="s">
        <v>10</v>
      </c>
      <c r="M473" s="3">
        <v>92</v>
      </c>
      <c r="N473" s="2">
        <v>277.66680522408262</v>
      </c>
    </row>
    <row r="474" spans="9:14" x14ac:dyDescent="0.15">
      <c r="I474">
        <v>470</v>
      </c>
      <c r="J474" t="s">
        <v>8</v>
      </c>
      <c r="K474" s="1">
        <v>38265</v>
      </c>
      <c r="L474" t="s">
        <v>9</v>
      </c>
      <c r="M474" s="3">
        <v>29</v>
      </c>
      <c r="N474" s="2">
        <v>88.713589465763263</v>
      </c>
    </row>
    <row r="475" spans="9:14" x14ac:dyDescent="0.15">
      <c r="I475">
        <v>471</v>
      </c>
      <c r="J475" t="s">
        <v>6</v>
      </c>
      <c r="K475" s="1">
        <v>39002</v>
      </c>
      <c r="L475" t="s">
        <v>10</v>
      </c>
      <c r="M475" s="3">
        <v>42</v>
      </c>
      <c r="N475" s="2">
        <v>128.17075092766001</v>
      </c>
    </row>
    <row r="476" spans="9:14" x14ac:dyDescent="0.15">
      <c r="I476">
        <v>472</v>
      </c>
      <c r="J476" t="s">
        <v>1</v>
      </c>
      <c r="K476" s="1">
        <v>38100</v>
      </c>
      <c r="L476" t="s">
        <v>10</v>
      </c>
      <c r="M476" s="3">
        <v>25</v>
      </c>
      <c r="N476" s="2">
        <v>77.315706522508677</v>
      </c>
    </row>
    <row r="477" spans="9:14" x14ac:dyDescent="0.15">
      <c r="I477">
        <v>473</v>
      </c>
      <c r="J477" t="s">
        <v>2</v>
      </c>
      <c r="K477" s="1">
        <v>38430</v>
      </c>
      <c r="L477" t="s">
        <v>9</v>
      </c>
      <c r="M477" s="3">
        <v>40</v>
      </c>
      <c r="N477" s="2">
        <v>122.53928167294391</v>
      </c>
    </row>
    <row r="478" spans="9:14" x14ac:dyDescent="0.15">
      <c r="I478">
        <v>474</v>
      </c>
      <c r="J478" t="s">
        <v>7</v>
      </c>
      <c r="K478" s="1">
        <v>38111</v>
      </c>
      <c r="L478" t="s">
        <v>10</v>
      </c>
      <c r="M478" s="3">
        <v>3</v>
      </c>
      <c r="N478" s="2">
        <v>10.570883063872969</v>
      </c>
    </row>
    <row r="479" spans="9:14" x14ac:dyDescent="0.15">
      <c r="I479">
        <v>475</v>
      </c>
      <c r="J479" t="s">
        <v>8</v>
      </c>
      <c r="K479" s="1">
        <v>38551</v>
      </c>
      <c r="L479" t="s">
        <v>9</v>
      </c>
      <c r="M479" s="3">
        <v>-1</v>
      </c>
      <c r="N479" s="2">
        <v>-0.82178994105370951</v>
      </c>
    </row>
    <row r="480" spans="9:14" x14ac:dyDescent="0.15">
      <c r="I480">
        <v>476</v>
      </c>
      <c r="J480" t="s">
        <v>6</v>
      </c>
      <c r="K480" s="1">
        <v>38969</v>
      </c>
      <c r="L480" t="s">
        <v>9</v>
      </c>
      <c r="M480" s="3">
        <v>12</v>
      </c>
      <c r="N480" s="2">
        <v>37.686101056343105</v>
      </c>
    </row>
    <row r="481" spans="9:14" x14ac:dyDescent="0.15">
      <c r="I481">
        <v>477</v>
      </c>
      <c r="J481" t="s">
        <v>7</v>
      </c>
      <c r="K481" s="1">
        <v>38155</v>
      </c>
      <c r="L481" t="s">
        <v>11</v>
      </c>
      <c r="M481" s="3">
        <v>0</v>
      </c>
      <c r="N481" s="2">
        <v>2.0013600167772623</v>
      </c>
    </row>
    <row r="482" spans="9:14" x14ac:dyDescent="0.15">
      <c r="I482">
        <v>478</v>
      </c>
      <c r="J482" t="s">
        <v>3</v>
      </c>
      <c r="K482" s="1">
        <v>38760</v>
      </c>
      <c r="L482" t="s">
        <v>10</v>
      </c>
      <c r="M482" s="3">
        <v>35</v>
      </c>
      <c r="N482" s="2">
        <v>106.26347084870943</v>
      </c>
    </row>
    <row r="483" spans="9:14" x14ac:dyDescent="0.15">
      <c r="I483">
        <v>479</v>
      </c>
      <c r="J483" t="s">
        <v>5</v>
      </c>
      <c r="K483" s="1">
        <v>38496</v>
      </c>
      <c r="L483" t="s">
        <v>9</v>
      </c>
      <c r="M483" s="3">
        <v>2</v>
      </c>
      <c r="N483" s="2">
        <v>7.6817477771075868</v>
      </c>
    </row>
    <row r="484" spans="9:14" x14ac:dyDescent="0.15">
      <c r="I484">
        <v>480</v>
      </c>
      <c r="J484" t="s">
        <v>4</v>
      </c>
      <c r="K484" s="1">
        <v>38859</v>
      </c>
      <c r="L484" t="s">
        <v>13</v>
      </c>
      <c r="M484" s="3">
        <v>10</v>
      </c>
      <c r="N484" s="2">
        <v>31.785155418327982</v>
      </c>
    </row>
    <row r="485" spans="9:14" x14ac:dyDescent="0.15">
      <c r="I485">
        <v>481</v>
      </c>
      <c r="J485" t="s">
        <v>0</v>
      </c>
      <c r="K485" s="1">
        <v>38639</v>
      </c>
      <c r="L485" t="s">
        <v>11</v>
      </c>
      <c r="M485" s="3">
        <v>6</v>
      </c>
      <c r="N485" s="2">
        <v>19.733545359470948</v>
      </c>
    </row>
    <row r="486" spans="9:14" x14ac:dyDescent="0.15">
      <c r="I486">
        <v>482</v>
      </c>
      <c r="J486" t="s">
        <v>0</v>
      </c>
      <c r="K486" s="1">
        <v>38056</v>
      </c>
      <c r="L486" t="s">
        <v>10</v>
      </c>
      <c r="M486" s="3">
        <v>4</v>
      </c>
      <c r="N486" s="2">
        <v>14.10456917940213</v>
      </c>
    </row>
    <row r="487" spans="9:14" x14ac:dyDescent="0.15">
      <c r="I487">
        <v>483</v>
      </c>
      <c r="J487" t="s">
        <v>7</v>
      </c>
      <c r="K487" s="1">
        <v>39002</v>
      </c>
      <c r="L487" t="s">
        <v>12</v>
      </c>
      <c r="M487" s="3">
        <v>91</v>
      </c>
      <c r="N487" s="2">
        <v>274.92032051274288</v>
      </c>
    </row>
    <row r="488" spans="9:14" x14ac:dyDescent="0.15">
      <c r="I488">
        <v>484</v>
      </c>
      <c r="J488" t="s">
        <v>0</v>
      </c>
      <c r="K488" s="1">
        <v>38903</v>
      </c>
      <c r="L488" t="s">
        <v>10</v>
      </c>
      <c r="M488" s="3">
        <v>12</v>
      </c>
      <c r="N488" s="2">
        <v>37.877226411963186</v>
      </c>
    </row>
    <row r="489" spans="9:14" x14ac:dyDescent="0.15">
      <c r="I489">
        <v>485</v>
      </c>
      <c r="J489" t="s">
        <v>4</v>
      </c>
      <c r="K489" s="1">
        <v>38298</v>
      </c>
      <c r="L489" t="s">
        <v>9</v>
      </c>
      <c r="M489" s="3">
        <v>21</v>
      </c>
      <c r="N489" s="2">
        <v>65.281423150866814</v>
      </c>
    </row>
    <row r="490" spans="9:14" x14ac:dyDescent="0.15">
      <c r="I490">
        <v>486</v>
      </c>
      <c r="J490" t="s">
        <v>0</v>
      </c>
      <c r="K490" s="1">
        <v>38441</v>
      </c>
      <c r="L490" t="s">
        <v>12</v>
      </c>
      <c r="M490" s="3">
        <v>44</v>
      </c>
      <c r="N490" s="2">
        <v>134.31454889834902</v>
      </c>
    </row>
    <row r="491" spans="9:14" x14ac:dyDescent="0.15">
      <c r="I491">
        <v>487</v>
      </c>
      <c r="J491" t="s">
        <v>8</v>
      </c>
      <c r="K491" s="1">
        <v>38375</v>
      </c>
      <c r="L491" t="s">
        <v>11</v>
      </c>
      <c r="M491" s="3">
        <v>75</v>
      </c>
      <c r="N491" s="2">
        <v>227.09867242909783</v>
      </c>
    </row>
    <row r="492" spans="9:14" x14ac:dyDescent="0.15">
      <c r="I492">
        <v>488</v>
      </c>
      <c r="J492" t="s">
        <v>8</v>
      </c>
      <c r="K492" s="1">
        <v>38188</v>
      </c>
      <c r="L492" t="s">
        <v>11</v>
      </c>
      <c r="M492" s="3">
        <v>37</v>
      </c>
      <c r="N492" s="2">
        <v>112.99692232382439</v>
      </c>
    </row>
    <row r="493" spans="9:14" x14ac:dyDescent="0.15">
      <c r="I493">
        <v>489</v>
      </c>
      <c r="J493" t="s">
        <v>4</v>
      </c>
      <c r="K493" s="1">
        <v>38925</v>
      </c>
      <c r="L493" t="s">
        <v>11</v>
      </c>
      <c r="M493" s="3">
        <v>58</v>
      </c>
      <c r="N493" s="2">
        <v>176.06598986452823</v>
      </c>
    </row>
    <row r="494" spans="9:14" x14ac:dyDescent="0.15">
      <c r="I494">
        <v>490</v>
      </c>
      <c r="J494" t="s">
        <v>0</v>
      </c>
      <c r="K494" s="1">
        <v>38760</v>
      </c>
      <c r="L494" t="s">
        <v>11</v>
      </c>
      <c r="M494" s="3">
        <v>74</v>
      </c>
      <c r="N494" s="2">
        <v>223.60878513520231</v>
      </c>
    </row>
    <row r="495" spans="9:14" x14ac:dyDescent="0.15">
      <c r="I495">
        <v>491</v>
      </c>
      <c r="J495" t="s">
        <v>3</v>
      </c>
      <c r="K495" s="1">
        <v>38144</v>
      </c>
      <c r="L495" t="s">
        <v>9</v>
      </c>
      <c r="M495" s="3">
        <v>64</v>
      </c>
      <c r="N495" s="2">
        <v>193.54947188165715</v>
      </c>
    </row>
    <row r="496" spans="9:14" x14ac:dyDescent="0.15">
      <c r="I496">
        <v>492</v>
      </c>
      <c r="J496" t="s">
        <v>8</v>
      </c>
      <c r="K496" s="1">
        <v>38683</v>
      </c>
      <c r="L496" t="s">
        <v>13</v>
      </c>
      <c r="M496" s="3">
        <v>53</v>
      </c>
      <c r="N496" s="2">
        <v>160.46113209921771</v>
      </c>
    </row>
    <row r="497" spans="9:14" x14ac:dyDescent="0.15">
      <c r="I497">
        <v>493</v>
      </c>
      <c r="J497" t="s">
        <v>6</v>
      </c>
      <c r="K497" s="1">
        <v>38100</v>
      </c>
      <c r="L497" t="s">
        <v>11</v>
      </c>
      <c r="M497" s="3">
        <v>-1</v>
      </c>
      <c r="N497" s="2">
        <v>-0.45003305566648821</v>
      </c>
    </row>
    <row r="498" spans="9:14" x14ac:dyDescent="0.15">
      <c r="I498">
        <v>494</v>
      </c>
      <c r="J498" t="s">
        <v>6</v>
      </c>
      <c r="K498" s="1">
        <v>38782</v>
      </c>
      <c r="L498" t="s">
        <v>12</v>
      </c>
      <c r="M498" s="3">
        <v>21</v>
      </c>
      <c r="N498" s="2">
        <v>65.06546054796479</v>
      </c>
    </row>
    <row r="499" spans="9:14" x14ac:dyDescent="0.15">
      <c r="I499">
        <v>495</v>
      </c>
      <c r="J499" t="s">
        <v>0</v>
      </c>
      <c r="K499" s="1">
        <v>38771</v>
      </c>
      <c r="L499" t="s">
        <v>12</v>
      </c>
      <c r="M499" s="3">
        <v>90</v>
      </c>
      <c r="N499" s="2">
        <v>271.33770442615577</v>
      </c>
    </row>
    <row r="500" spans="9:14" x14ac:dyDescent="0.15">
      <c r="I500">
        <v>496</v>
      </c>
      <c r="J500" t="s">
        <v>0</v>
      </c>
      <c r="K500" s="1">
        <v>38650</v>
      </c>
      <c r="L500" t="s">
        <v>13</v>
      </c>
      <c r="M500" s="3">
        <v>61</v>
      </c>
      <c r="N500" s="2">
        <v>184.82822454861244</v>
      </c>
    </row>
    <row r="501" spans="9:14" x14ac:dyDescent="0.15">
      <c r="I501">
        <v>497</v>
      </c>
      <c r="J501" t="s">
        <v>8</v>
      </c>
      <c r="K501" s="1">
        <v>38485</v>
      </c>
      <c r="L501" t="s">
        <v>12</v>
      </c>
      <c r="M501" s="3">
        <v>64</v>
      </c>
      <c r="N501" s="2">
        <v>193.98125439867269</v>
      </c>
    </row>
    <row r="502" spans="9:14" x14ac:dyDescent="0.15">
      <c r="I502">
        <v>498</v>
      </c>
      <c r="J502" t="s">
        <v>4</v>
      </c>
      <c r="K502" s="1">
        <v>38782</v>
      </c>
      <c r="L502" t="s">
        <v>11</v>
      </c>
      <c r="M502" s="3">
        <v>79</v>
      </c>
      <c r="N502" s="2">
        <v>238.60895261406517</v>
      </c>
    </row>
    <row r="503" spans="9:14" x14ac:dyDescent="0.15">
      <c r="I503">
        <v>499</v>
      </c>
      <c r="J503" t="s">
        <v>4</v>
      </c>
      <c r="K503" s="1">
        <v>38848</v>
      </c>
      <c r="L503" t="s">
        <v>9</v>
      </c>
      <c r="M503" s="3">
        <v>11</v>
      </c>
      <c r="N503" s="2">
        <v>34.580350260479243</v>
      </c>
    </row>
    <row r="504" spans="9:14" x14ac:dyDescent="0.15">
      <c r="I504">
        <v>500</v>
      </c>
      <c r="J504" t="s">
        <v>2</v>
      </c>
      <c r="K504" s="1">
        <v>38881</v>
      </c>
      <c r="L504" t="s">
        <v>12</v>
      </c>
      <c r="M504" s="3">
        <v>17</v>
      </c>
      <c r="N504" s="2">
        <v>52.992178326548526</v>
      </c>
    </row>
    <row r="505" spans="9:14" x14ac:dyDescent="0.15">
      <c r="I505">
        <v>501</v>
      </c>
      <c r="J505" t="s">
        <v>2</v>
      </c>
      <c r="K505" s="1">
        <v>39002</v>
      </c>
      <c r="L505" t="s">
        <v>10</v>
      </c>
      <c r="M505" s="3">
        <v>-10</v>
      </c>
      <c r="N505" s="2">
        <v>-28.507437864458012</v>
      </c>
    </row>
    <row r="506" spans="9:14" x14ac:dyDescent="0.15">
      <c r="I506">
        <v>502</v>
      </c>
      <c r="J506" t="s">
        <v>1</v>
      </c>
      <c r="K506" s="1">
        <v>38111</v>
      </c>
      <c r="L506" t="s">
        <v>12</v>
      </c>
      <c r="M506" s="3">
        <v>61</v>
      </c>
      <c r="N506" s="2">
        <v>185.38151200169028</v>
      </c>
    </row>
    <row r="507" spans="9:14" x14ac:dyDescent="0.15">
      <c r="I507">
        <v>503</v>
      </c>
      <c r="J507" t="s">
        <v>6</v>
      </c>
      <c r="K507" s="1">
        <v>38540</v>
      </c>
      <c r="L507" t="s">
        <v>11</v>
      </c>
      <c r="M507" s="3">
        <v>81</v>
      </c>
      <c r="N507" s="2">
        <v>245.19138414086007</v>
      </c>
    </row>
    <row r="508" spans="9:14" x14ac:dyDescent="0.15">
      <c r="I508">
        <v>504</v>
      </c>
      <c r="J508" t="s">
        <v>2</v>
      </c>
      <c r="K508" s="1">
        <v>38342</v>
      </c>
      <c r="L508" t="s">
        <v>12</v>
      </c>
      <c r="M508" s="3">
        <v>86</v>
      </c>
      <c r="N508" s="2">
        <v>259.65061904974743</v>
      </c>
    </row>
    <row r="509" spans="9:14" x14ac:dyDescent="0.15">
      <c r="I509">
        <v>505</v>
      </c>
      <c r="J509" t="s">
        <v>1</v>
      </c>
      <c r="K509" s="1">
        <v>38166</v>
      </c>
      <c r="L509" t="s">
        <v>11</v>
      </c>
      <c r="M509" s="3">
        <v>-6</v>
      </c>
      <c r="N509" s="2">
        <v>-16.598209454734359</v>
      </c>
    </row>
    <row r="510" spans="9:14" x14ac:dyDescent="0.15">
      <c r="I510">
        <v>506</v>
      </c>
      <c r="J510" t="s">
        <v>0</v>
      </c>
      <c r="K510" s="1">
        <v>38617</v>
      </c>
      <c r="L510" t="s">
        <v>13</v>
      </c>
      <c r="M510" s="3">
        <v>75</v>
      </c>
      <c r="N510" s="2">
        <v>226.29108110625336</v>
      </c>
    </row>
    <row r="511" spans="9:14" x14ac:dyDescent="0.15">
      <c r="I511">
        <v>507</v>
      </c>
      <c r="J511" t="s">
        <v>4</v>
      </c>
      <c r="K511" s="1">
        <v>38551</v>
      </c>
      <c r="L511" t="s">
        <v>12</v>
      </c>
      <c r="M511" s="3">
        <v>87</v>
      </c>
      <c r="N511" s="2">
        <v>262.49660177211871</v>
      </c>
    </row>
    <row r="512" spans="9:14" x14ac:dyDescent="0.15">
      <c r="I512">
        <v>508</v>
      </c>
      <c r="J512" t="s">
        <v>7</v>
      </c>
      <c r="K512" s="1">
        <v>38914</v>
      </c>
      <c r="L512" t="s">
        <v>9</v>
      </c>
      <c r="M512" s="3">
        <v>15</v>
      </c>
      <c r="N512" s="2">
        <v>47.143262888260409</v>
      </c>
    </row>
    <row r="513" spans="9:14" x14ac:dyDescent="0.15">
      <c r="I513">
        <v>509</v>
      </c>
      <c r="J513" t="s">
        <v>0</v>
      </c>
      <c r="K513" s="1">
        <v>38430</v>
      </c>
      <c r="L513" t="s">
        <v>13</v>
      </c>
      <c r="M513" s="3">
        <v>6</v>
      </c>
      <c r="N513" s="2">
        <v>20.042838163999704</v>
      </c>
    </row>
    <row r="514" spans="9:14" x14ac:dyDescent="0.15">
      <c r="I514">
        <v>510</v>
      </c>
      <c r="J514" t="s">
        <v>4</v>
      </c>
      <c r="K514" s="1">
        <v>38045</v>
      </c>
      <c r="L514" t="s">
        <v>11</v>
      </c>
      <c r="M514" s="3">
        <v>4</v>
      </c>
      <c r="N514" s="2">
        <v>14.012285541104387</v>
      </c>
    </row>
    <row r="515" spans="9:14" x14ac:dyDescent="0.15">
      <c r="I515">
        <v>511</v>
      </c>
      <c r="J515" t="s">
        <v>0</v>
      </c>
      <c r="K515" s="1">
        <v>38815</v>
      </c>
      <c r="L515" t="s">
        <v>11</v>
      </c>
      <c r="M515" s="3">
        <v>56</v>
      </c>
      <c r="N515" s="2">
        <v>169.24877716888537</v>
      </c>
    </row>
    <row r="516" spans="9:14" x14ac:dyDescent="0.15">
      <c r="I516">
        <v>512</v>
      </c>
      <c r="J516" t="s">
        <v>8</v>
      </c>
      <c r="K516" s="1">
        <v>38111</v>
      </c>
      <c r="L516" t="s">
        <v>9</v>
      </c>
      <c r="M516" s="3">
        <v>76</v>
      </c>
      <c r="N516" s="2">
        <v>230.1804612249874</v>
      </c>
    </row>
    <row r="517" spans="9:14" x14ac:dyDescent="0.15">
      <c r="I517">
        <v>513</v>
      </c>
      <c r="J517" t="s">
        <v>3</v>
      </c>
      <c r="K517" s="1">
        <v>38540</v>
      </c>
      <c r="L517" t="s">
        <v>13</v>
      </c>
      <c r="M517" s="3">
        <v>27</v>
      </c>
      <c r="N517" s="2">
        <v>82.599143929902795</v>
      </c>
    </row>
    <row r="518" spans="9:14" x14ac:dyDescent="0.15">
      <c r="I518">
        <v>514</v>
      </c>
      <c r="J518" t="s">
        <v>8</v>
      </c>
      <c r="K518" s="1">
        <v>38705</v>
      </c>
      <c r="L518" t="s">
        <v>9</v>
      </c>
      <c r="M518" s="3">
        <v>58</v>
      </c>
      <c r="N518" s="2">
        <v>175.77181619024202</v>
      </c>
    </row>
    <row r="519" spans="9:14" x14ac:dyDescent="0.15">
      <c r="I519">
        <v>515</v>
      </c>
      <c r="J519" t="s">
        <v>0</v>
      </c>
      <c r="K519" s="1">
        <v>38034</v>
      </c>
      <c r="L519" t="s">
        <v>13</v>
      </c>
      <c r="M519" s="3">
        <v>67</v>
      </c>
      <c r="N519" s="2">
        <v>202.62226122372601</v>
      </c>
    </row>
    <row r="520" spans="9:14" x14ac:dyDescent="0.15">
      <c r="I520">
        <v>516</v>
      </c>
      <c r="J520" t="s">
        <v>2</v>
      </c>
      <c r="K520" s="1">
        <v>38606</v>
      </c>
      <c r="L520" t="s">
        <v>10</v>
      </c>
      <c r="M520" s="3">
        <v>79</v>
      </c>
      <c r="N520" s="2">
        <v>238.78594564649822</v>
      </c>
    </row>
    <row r="521" spans="9:14" x14ac:dyDescent="0.15">
      <c r="I521">
        <v>517</v>
      </c>
      <c r="J521" t="s">
        <v>1</v>
      </c>
      <c r="K521" s="1">
        <v>38243</v>
      </c>
      <c r="L521" t="s">
        <v>12</v>
      </c>
      <c r="M521" s="3">
        <v>38</v>
      </c>
      <c r="N521" s="2">
        <v>116.68598743448534</v>
      </c>
    </row>
    <row r="522" spans="9:14" x14ac:dyDescent="0.15">
      <c r="I522">
        <v>518</v>
      </c>
      <c r="J522" t="s">
        <v>8</v>
      </c>
      <c r="K522" s="1">
        <v>38078</v>
      </c>
      <c r="L522" t="s">
        <v>12</v>
      </c>
      <c r="M522" s="3">
        <v>4</v>
      </c>
      <c r="N522" s="2">
        <v>13.641635237019504</v>
      </c>
    </row>
    <row r="523" spans="9:14" x14ac:dyDescent="0.15">
      <c r="I523">
        <v>519</v>
      </c>
      <c r="J523" t="s">
        <v>4</v>
      </c>
      <c r="K523" s="1">
        <v>38793</v>
      </c>
      <c r="L523" t="s">
        <v>11</v>
      </c>
      <c r="M523" s="3">
        <v>45</v>
      </c>
      <c r="N523" s="2">
        <v>137.06873634212499</v>
      </c>
    </row>
    <row r="524" spans="9:14" x14ac:dyDescent="0.15">
      <c r="I524">
        <v>520</v>
      </c>
      <c r="J524" t="s">
        <v>8</v>
      </c>
      <c r="K524" s="1">
        <v>38122</v>
      </c>
      <c r="L524" t="s">
        <v>9</v>
      </c>
      <c r="M524" s="3">
        <v>10</v>
      </c>
      <c r="N524" s="2">
        <v>32.194899991771997</v>
      </c>
    </row>
    <row r="525" spans="9:14" x14ac:dyDescent="0.15">
      <c r="I525">
        <v>521</v>
      </c>
      <c r="J525" t="s">
        <v>3</v>
      </c>
      <c r="K525" s="1">
        <v>38661</v>
      </c>
      <c r="L525" t="s">
        <v>9</v>
      </c>
      <c r="M525" s="3">
        <v>86</v>
      </c>
      <c r="N525" s="2">
        <v>260.39717870163332</v>
      </c>
    </row>
    <row r="526" spans="9:14" x14ac:dyDescent="0.15">
      <c r="I526">
        <v>522</v>
      </c>
      <c r="J526" t="s">
        <v>7</v>
      </c>
      <c r="K526" s="1">
        <v>38848</v>
      </c>
      <c r="L526" t="s">
        <v>9</v>
      </c>
      <c r="M526" s="3">
        <v>75</v>
      </c>
      <c r="N526" s="2">
        <v>226.71443824204945</v>
      </c>
    </row>
    <row r="527" spans="9:14" x14ac:dyDescent="0.15">
      <c r="I527">
        <v>523</v>
      </c>
      <c r="J527" t="s">
        <v>5</v>
      </c>
      <c r="K527" s="1">
        <v>38430</v>
      </c>
      <c r="L527" t="s">
        <v>11</v>
      </c>
      <c r="M527" s="3">
        <v>77</v>
      </c>
      <c r="N527" s="2">
        <v>232.49630521155086</v>
      </c>
    </row>
    <row r="528" spans="9:14" x14ac:dyDescent="0.15">
      <c r="I528">
        <v>524</v>
      </c>
      <c r="J528" t="s">
        <v>5</v>
      </c>
      <c r="K528" s="1">
        <v>38067</v>
      </c>
      <c r="L528" t="s">
        <v>11</v>
      </c>
      <c r="M528" s="3">
        <v>10</v>
      </c>
      <c r="N528" s="2">
        <v>31.818132134554009</v>
      </c>
    </row>
    <row r="529" spans="9:14" x14ac:dyDescent="0.15">
      <c r="I529">
        <v>525</v>
      </c>
      <c r="J529" t="s">
        <v>1</v>
      </c>
      <c r="K529" s="1">
        <v>38265</v>
      </c>
      <c r="L529" t="s">
        <v>9</v>
      </c>
      <c r="M529" s="3">
        <v>62</v>
      </c>
      <c r="N529" s="2">
        <v>188.38088235582651</v>
      </c>
    </row>
    <row r="530" spans="9:14" x14ac:dyDescent="0.15">
      <c r="I530">
        <v>526</v>
      </c>
      <c r="J530" t="s">
        <v>8</v>
      </c>
      <c r="K530" s="1">
        <v>38012</v>
      </c>
      <c r="L530" t="s">
        <v>10</v>
      </c>
      <c r="M530" s="3">
        <v>73</v>
      </c>
      <c r="N530" s="2">
        <v>221.29214849175239</v>
      </c>
    </row>
    <row r="531" spans="9:14" x14ac:dyDescent="0.15">
      <c r="I531">
        <v>527</v>
      </c>
      <c r="J531" t="s">
        <v>0</v>
      </c>
      <c r="K531" s="1">
        <v>38001</v>
      </c>
      <c r="L531" t="s">
        <v>9</v>
      </c>
      <c r="M531" s="3">
        <v>62</v>
      </c>
      <c r="N531" s="2">
        <v>187.23352558776915</v>
      </c>
    </row>
    <row r="532" spans="9:14" x14ac:dyDescent="0.15">
      <c r="I532">
        <v>528</v>
      </c>
      <c r="J532" t="s">
        <v>4</v>
      </c>
      <c r="K532" s="1">
        <v>38892</v>
      </c>
      <c r="L532" t="s">
        <v>12</v>
      </c>
      <c r="M532" s="3">
        <v>11</v>
      </c>
      <c r="N532" s="2">
        <v>35.723241285873279</v>
      </c>
    </row>
    <row r="533" spans="9:14" x14ac:dyDescent="0.15">
      <c r="I533">
        <v>529</v>
      </c>
      <c r="J533" t="s">
        <v>3</v>
      </c>
      <c r="K533" s="1">
        <v>38705</v>
      </c>
      <c r="L533" t="s">
        <v>12</v>
      </c>
      <c r="M533" s="3">
        <v>28</v>
      </c>
      <c r="N533" s="2">
        <v>86.078223340302799</v>
      </c>
    </row>
    <row r="534" spans="9:14" x14ac:dyDescent="0.15">
      <c r="I534">
        <v>530</v>
      </c>
      <c r="J534" t="s">
        <v>3</v>
      </c>
      <c r="K534" s="1">
        <v>38221</v>
      </c>
      <c r="L534" t="s">
        <v>12</v>
      </c>
      <c r="M534" s="3">
        <v>57</v>
      </c>
      <c r="N534" s="2">
        <v>172.3620870689609</v>
      </c>
    </row>
    <row r="535" spans="9:14" x14ac:dyDescent="0.15">
      <c r="I535">
        <v>531</v>
      </c>
      <c r="J535" t="s">
        <v>7</v>
      </c>
      <c r="K535" s="1">
        <v>38331</v>
      </c>
      <c r="L535" t="s">
        <v>11</v>
      </c>
      <c r="M535" s="3">
        <v>34</v>
      </c>
      <c r="N535" s="2">
        <v>103.4937406460938</v>
      </c>
    </row>
    <row r="536" spans="9:14" x14ac:dyDescent="0.15">
      <c r="I536">
        <v>532</v>
      </c>
      <c r="J536" t="s">
        <v>0</v>
      </c>
      <c r="K536" s="1">
        <v>38639</v>
      </c>
      <c r="L536" t="s">
        <v>11</v>
      </c>
      <c r="M536" s="3">
        <v>89</v>
      </c>
      <c r="N536" s="2">
        <v>267.86415015075153</v>
      </c>
    </row>
    <row r="537" spans="9:14" x14ac:dyDescent="0.15">
      <c r="I537">
        <v>533</v>
      </c>
      <c r="J537" t="s">
        <v>3</v>
      </c>
      <c r="K537" s="1">
        <v>38254</v>
      </c>
      <c r="L537" t="s">
        <v>10</v>
      </c>
      <c r="M537" s="3">
        <v>32</v>
      </c>
      <c r="N537" s="2">
        <v>97.889348643674225</v>
      </c>
    </row>
    <row r="538" spans="9:14" x14ac:dyDescent="0.15">
      <c r="I538">
        <v>534</v>
      </c>
      <c r="J538" t="s">
        <v>4</v>
      </c>
      <c r="K538" s="1">
        <v>39046</v>
      </c>
      <c r="L538" t="s">
        <v>11</v>
      </c>
      <c r="M538" s="3">
        <v>38</v>
      </c>
      <c r="N538" s="2">
        <v>116.04458768996518</v>
      </c>
    </row>
    <row r="539" spans="9:14" x14ac:dyDescent="0.15">
      <c r="I539">
        <v>535</v>
      </c>
      <c r="J539" t="s">
        <v>1</v>
      </c>
      <c r="K539" s="1">
        <v>38584</v>
      </c>
      <c r="L539" t="s">
        <v>10</v>
      </c>
      <c r="M539" s="3">
        <v>82</v>
      </c>
      <c r="N539" s="2">
        <v>248.04707692390426</v>
      </c>
    </row>
    <row r="540" spans="9:14" x14ac:dyDescent="0.15">
      <c r="I540">
        <v>536</v>
      </c>
      <c r="J540" t="s">
        <v>0</v>
      </c>
      <c r="K540" s="1">
        <v>38133</v>
      </c>
      <c r="L540" t="s">
        <v>9</v>
      </c>
      <c r="M540" s="3">
        <v>29</v>
      </c>
      <c r="N540" s="2">
        <v>89.294687359204545</v>
      </c>
    </row>
    <row r="541" spans="9:14" x14ac:dyDescent="0.15">
      <c r="I541">
        <v>537</v>
      </c>
      <c r="J541" t="s">
        <v>5</v>
      </c>
      <c r="K541" s="1">
        <v>38991</v>
      </c>
      <c r="L541" t="s">
        <v>13</v>
      </c>
      <c r="M541" s="3">
        <v>17</v>
      </c>
      <c r="N541" s="2">
        <v>52.246197330854876</v>
      </c>
    </row>
    <row r="542" spans="9:14" x14ac:dyDescent="0.15">
      <c r="I542">
        <v>538</v>
      </c>
      <c r="J542" t="s">
        <v>3</v>
      </c>
      <c r="K542" s="1">
        <v>38210</v>
      </c>
      <c r="L542" t="s">
        <v>11</v>
      </c>
      <c r="M542" s="3">
        <v>50</v>
      </c>
      <c r="N542" s="2">
        <v>151.86525901218997</v>
      </c>
    </row>
    <row r="543" spans="9:14" x14ac:dyDescent="0.15">
      <c r="I543">
        <v>539</v>
      </c>
      <c r="J543" t="s">
        <v>2</v>
      </c>
      <c r="K543" s="1">
        <v>38078</v>
      </c>
      <c r="L543" t="s">
        <v>13</v>
      </c>
      <c r="M543" s="3">
        <v>7</v>
      </c>
      <c r="N543" s="2">
        <v>22.95994805531884</v>
      </c>
    </row>
    <row r="544" spans="9:14" x14ac:dyDescent="0.15">
      <c r="I544">
        <v>540</v>
      </c>
      <c r="J544" t="s">
        <v>6</v>
      </c>
      <c r="K544" s="1">
        <v>38430</v>
      </c>
      <c r="L544" t="s">
        <v>10</v>
      </c>
      <c r="M544" s="3">
        <v>50</v>
      </c>
      <c r="N544" s="2">
        <v>151.36182402448466</v>
      </c>
    </row>
    <row r="545" spans="9:14" x14ac:dyDescent="0.15">
      <c r="I545">
        <v>541</v>
      </c>
      <c r="J545" t="s">
        <v>1</v>
      </c>
      <c r="K545" s="1">
        <v>38408</v>
      </c>
      <c r="L545" t="s">
        <v>13</v>
      </c>
      <c r="M545" s="3">
        <v>20</v>
      </c>
      <c r="N545" s="2">
        <v>61.878678847796238</v>
      </c>
    </row>
    <row r="546" spans="9:14" x14ac:dyDescent="0.15">
      <c r="I546">
        <v>542</v>
      </c>
      <c r="J546" t="s">
        <v>0</v>
      </c>
      <c r="K546" s="1">
        <v>38408</v>
      </c>
      <c r="L546" t="s">
        <v>9</v>
      </c>
      <c r="M546" s="3">
        <v>37</v>
      </c>
      <c r="N546" s="2">
        <v>112.83363370259229</v>
      </c>
    </row>
    <row r="547" spans="9:14" x14ac:dyDescent="0.15">
      <c r="I547">
        <v>543</v>
      </c>
      <c r="J547" t="s">
        <v>4</v>
      </c>
      <c r="K547" s="1">
        <v>38232</v>
      </c>
      <c r="L547" t="s">
        <v>12</v>
      </c>
      <c r="M547" s="3">
        <v>58</v>
      </c>
      <c r="N547" s="2">
        <v>176.6097113560426</v>
      </c>
    </row>
    <row r="548" spans="9:14" x14ac:dyDescent="0.15">
      <c r="I548">
        <v>544</v>
      </c>
      <c r="J548" t="s">
        <v>2</v>
      </c>
      <c r="K548" s="1">
        <v>38738</v>
      </c>
      <c r="L548" t="s">
        <v>9</v>
      </c>
      <c r="M548" s="3">
        <v>25</v>
      </c>
      <c r="N548" s="2">
        <v>76.920283125674487</v>
      </c>
    </row>
    <row r="549" spans="9:14" x14ac:dyDescent="0.15">
      <c r="I549">
        <v>545</v>
      </c>
      <c r="J549" t="s">
        <v>3</v>
      </c>
      <c r="K549" s="1">
        <v>38078</v>
      </c>
      <c r="L549" t="s">
        <v>11</v>
      </c>
      <c r="M549" s="3">
        <v>34</v>
      </c>
      <c r="N549" s="2">
        <v>103.18208157525912</v>
      </c>
    </row>
    <row r="550" spans="9:14" x14ac:dyDescent="0.15">
      <c r="I550">
        <v>546</v>
      </c>
      <c r="J550" t="s">
        <v>8</v>
      </c>
      <c r="K550" s="1">
        <v>39013</v>
      </c>
      <c r="L550" t="s">
        <v>9</v>
      </c>
      <c r="M550" s="3">
        <v>3</v>
      </c>
      <c r="N550" s="2">
        <v>11.582072936390588</v>
      </c>
    </row>
    <row r="551" spans="9:14" x14ac:dyDescent="0.15">
      <c r="I551">
        <v>547</v>
      </c>
      <c r="J551" t="s">
        <v>8</v>
      </c>
      <c r="K551" s="1">
        <v>38991</v>
      </c>
      <c r="L551" t="s">
        <v>13</v>
      </c>
      <c r="M551" s="3">
        <v>63</v>
      </c>
      <c r="N551" s="2">
        <v>190.58521809047551</v>
      </c>
    </row>
    <row r="552" spans="9:14" x14ac:dyDescent="0.15">
      <c r="I552">
        <v>548</v>
      </c>
      <c r="J552" t="s">
        <v>8</v>
      </c>
      <c r="K552" s="1">
        <v>38727</v>
      </c>
      <c r="L552" t="s">
        <v>11</v>
      </c>
      <c r="M552" s="3">
        <v>44</v>
      </c>
      <c r="N552" s="2">
        <v>133.61508244900483</v>
      </c>
    </row>
    <row r="553" spans="9:14" x14ac:dyDescent="0.15">
      <c r="I553">
        <v>549</v>
      </c>
      <c r="J553" t="s">
        <v>7</v>
      </c>
      <c r="K553" s="1">
        <v>38089</v>
      </c>
      <c r="L553" t="s">
        <v>11</v>
      </c>
      <c r="M553" s="3">
        <v>87</v>
      </c>
      <c r="N553" s="2">
        <v>263.16283259571526</v>
      </c>
    </row>
    <row r="554" spans="9:14" x14ac:dyDescent="0.15">
      <c r="I554">
        <v>550</v>
      </c>
      <c r="J554" t="s">
        <v>0</v>
      </c>
      <c r="K554" s="1">
        <v>38408</v>
      </c>
      <c r="L554" t="s">
        <v>13</v>
      </c>
      <c r="M554" s="3">
        <v>4</v>
      </c>
      <c r="N554" s="2">
        <v>14.191095035521025</v>
      </c>
    </row>
    <row r="555" spans="9:14" x14ac:dyDescent="0.15">
      <c r="I555">
        <v>551</v>
      </c>
      <c r="J555" t="s">
        <v>6</v>
      </c>
      <c r="K555" s="1">
        <v>38826</v>
      </c>
      <c r="L555" t="s">
        <v>9</v>
      </c>
      <c r="M555" s="3">
        <v>93</v>
      </c>
      <c r="N555" s="2">
        <v>281.17072628162578</v>
      </c>
    </row>
    <row r="556" spans="9:14" x14ac:dyDescent="0.15">
      <c r="I556">
        <v>552</v>
      </c>
      <c r="J556" t="s">
        <v>1</v>
      </c>
      <c r="K556" s="1">
        <v>38320</v>
      </c>
      <c r="L556" t="s">
        <v>13</v>
      </c>
      <c r="M556" s="3">
        <v>10</v>
      </c>
      <c r="N556" s="2">
        <v>32.065090501540446</v>
      </c>
    </row>
    <row r="557" spans="9:14" x14ac:dyDescent="0.15">
      <c r="I557">
        <v>553</v>
      </c>
      <c r="J557" t="s">
        <v>4</v>
      </c>
      <c r="K557" s="1">
        <v>39068</v>
      </c>
      <c r="L557" t="s">
        <v>12</v>
      </c>
      <c r="M557" s="3">
        <v>19</v>
      </c>
      <c r="N557" s="2">
        <v>58.972126169367577</v>
      </c>
    </row>
    <row r="558" spans="9:14" x14ac:dyDescent="0.15">
      <c r="I558">
        <v>554</v>
      </c>
      <c r="J558" t="s">
        <v>3</v>
      </c>
      <c r="K558" s="1">
        <v>38551</v>
      </c>
      <c r="L558" t="s">
        <v>11</v>
      </c>
      <c r="M558" s="3">
        <v>30</v>
      </c>
      <c r="N558" s="2">
        <v>92.527630840276103</v>
      </c>
    </row>
    <row r="559" spans="9:14" x14ac:dyDescent="0.15">
      <c r="I559">
        <v>555</v>
      </c>
      <c r="J559" t="s">
        <v>6</v>
      </c>
      <c r="K559" s="1">
        <v>39035</v>
      </c>
      <c r="L559" t="s">
        <v>12</v>
      </c>
      <c r="M559" s="3">
        <v>-1</v>
      </c>
      <c r="N559" s="2">
        <v>-1.2782372664639507</v>
      </c>
    </row>
    <row r="560" spans="9:14" x14ac:dyDescent="0.15">
      <c r="I560">
        <v>556</v>
      </c>
      <c r="J560" t="s">
        <v>0</v>
      </c>
      <c r="K560" s="1">
        <v>38837</v>
      </c>
      <c r="L560" t="s">
        <v>11</v>
      </c>
      <c r="M560" s="3">
        <v>46</v>
      </c>
      <c r="N560" s="2">
        <v>139.41162650743053</v>
      </c>
    </row>
    <row r="561" spans="9:14" x14ac:dyDescent="0.15">
      <c r="I561">
        <v>557</v>
      </c>
      <c r="J561" t="s">
        <v>1</v>
      </c>
      <c r="K561" s="1">
        <v>38232</v>
      </c>
      <c r="L561" t="s">
        <v>9</v>
      </c>
      <c r="M561" s="3">
        <v>44</v>
      </c>
      <c r="N561" s="2">
        <v>133.50877739627518</v>
      </c>
    </row>
    <row r="562" spans="9:14" x14ac:dyDescent="0.15">
      <c r="I562">
        <v>558</v>
      </c>
      <c r="J562" t="s">
        <v>8</v>
      </c>
      <c r="K562" s="1">
        <v>38287</v>
      </c>
      <c r="L562" t="s">
        <v>11</v>
      </c>
      <c r="M562" s="3">
        <v>47</v>
      </c>
      <c r="N562" s="2">
        <v>143.21221530085697</v>
      </c>
    </row>
    <row r="563" spans="9:14" x14ac:dyDescent="0.15">
      <c r="I563">
        <v>559</v>
      </c>
      <c r="J563" t="s">
        <v>0</v>
      </c>
      <c r="K563" s="1">
        <v>38969</v>
      </c>
      <c r="L563" t="s">
        <v>11</v>
      </c>
      <c r="M563" s="3">
        <v>86</v>
      </c>
      <c r="N563" s="2">
        <v>260.39157259526775</v>
      </c>
    </row>
    <row r="564" spans="9:14" x14ac:dyDescent="0.15">
      <c r="I564">
        <v>560</v>
      </c>
      <c r="J564" t="s">
        <v>0</v>
      </c>
      <c r="K564" s="1">
        <v>38925</v>
      </c>
      <c r="L564" t="s">
        <v>9</v>
      </c>
      <c r="M564" s="3">
        <v>76</v>
      </c>
      <c r="N564" s="2">
        <v>229.96347977242982</v>
      </c>
    </row>
    <row r="565" spans="9:14" x14ac:dyDescent="0.15">
      <c r="I565">
        <v>561</v>
      </c>
      <c r="J565" t="s">
        <v>4</v>
      </c>
      <c r="K565" s="1">
        <v>38078</v>
      </c>
      <c r="L565" t="s">
        <v>12</v>
      </c>
      <c r="M565" s="3">
        <v>55</v>
      </c>
      <c r="N565" s="2">
        <v>166.99029890676019</v>
      </c>
    </row>
    <row r="566" spans="9:14" x14ac:dyDescent="0.15">
      <c r="I566">
        <v>562</v>
      </c>
      <c r="J566" t="s">
        <v>6</v>
      </c>
      <c r="K566" s="1">
        <v>38133</v>
      </c>
      <c r="L566" t="s">
        <v>11</v>
      </c>
      <c r="M566" s="3">
        <v>-1</v>
      </c>
      <c r="N566" s="2">
        <v>-0.79289798318866422</v>
      </c>
    </row>
    <row r="567" spans="9:14" x14ac:dyDescent="0.15">
      <c r="I567">
        <v>563</v>
      </c>
      <c r="J567" t="s">
        <v>6</v>
      </c>
      <c r="K567" s="1">
        <v>38188</v>
      </c>
      <c r="L567" t="s">
        <v>12</v>
      </c>
      <c r="M567" s="3">
        <v>62</v>
      </c>
      <c r="N567" s="2">
        <v>187.63361707571198</v>
      </c>
    </row>
    <row r="568" spans="9:14" x14ac:dyDescent="0.15">
      <c r="I568">
        <v>564</v>
      </c>
      <c r="J568" t="s">
        <v>6</v>
      </c>
      <c r="K568" s="1">
        <v>38012</v>
      </c>
      <c r="L568" t="s">
        <v>9</v>
      </c>
      <c r="M568" s="3">
        <v>73</v>
      </c>
      <c r="N568" s="2">
        <v>220.96515803490902</v>
      </c>
    </row>
    <row r="569" spans="9:14" x14ac:dyDescent="0.15">
      <c r="I569">
        <v>565</v>
      </c>
      <c r="J569" t="s">
        <v>3</v>
      </c>
      <c r="K569" s="1">
        <v>38298</v>
      </c>
      <c r="L569" t="s">
        <v>13</v>
      </c>
      <c r="M569" s="3">
        <v>12</v>
      </c>
      <c r="N569" s="2">
        <v>38.43875396047023</v>
      </c>
    </row>
    <row r="570" spans="9:14" x14ac:dyDescent="0.15">
      <c r="I570">
        <v>566</v>
      </c>
      <c r="J570" t="s">
        <v>5</v>
      </c>
      <c r="K570" s="1">
        <v>38221</v>
      </c>
      <c r="L570" t="s">
        <v>12</v>
      </c>
      <c r="M570" s="3">
        <v>0</v>
      </c>
      <c r="N570" s="2">
        <v>1.5994060348452668</v>
      </c>
    </row>
    <row r="571" spans="9:14" x14ac:dyDescent="0.15">
      <c r="I571">
        <v>567</v>
      </c>
      <c r="J571" t="s">
        <v>7</v>
      </c>
      <c r="K571" s="1">
        <v>38947</v>
      </c>
      <c r="L571" t="s">
        <v>11</v>
      </c>
      <c r="M571" s="3">
        <v>23</v>
      </c>
      <c r="N571" s="2">
        <v>71.39535724005502</v>
      </c>
    </row>
    <row r="572" spans="9:14" x14ac:dyDescent="0.15">
      <c r="I572">
        <v>568</v>
      </c>
      <c r="J572" t="s">
        <v>7</v>
      </c>
      <c r="K572" s="1">
        <v>38375</v>
      </c>
      <c r="L572" t="s">
        <v>11</v>
      </c>
      <c r="M572" s="3">
        <v>73</v>
      </c>
      <c r="N572" s="2">
        <v>220.80778472883722</v>
      </c>
    </row>
    <row r="573" spans="9:14" x14ac:dyDescent="0.15">
      <c r="I573">
        <v>569</v>
      </c>
      <c r="J573" t="s">
        <v>0</v>
      </c>
      <c r="K573" s="1">
        <v>38507</v>
      </c>
      <c r="L573" t="s">
        <v>10</v>
      </c>
      <c r="M573" s="3">
        <v>73</v>
      </c>
      <c r="N573" s="2">
        <v>221.78112807048697</v>
      </c>
    </row>
    <row r="574" spans="9:14" x14ac:dyDescent="0.15">
      <c r="I574">
        <v>570</v>
      </c>
      <c r="J574" t="s">
        <v>5</v>
      </c>
      <c r="K574" s="1">
        <v>38430</v>
      </c>
      <c r="L574" t="s">
        <v>9</v>
      </c>
      <c r="M574" s="3">
        <v>43</v>
      </c>
      <c r="N574" s="2">
        <v>131.05809583118935</v>
      </c>
    </row>
    <row r="575" spans="9:14" x14ac:dyDescent="0.15">
      <c r="I575">
        <v>571</v>
      </c>
      <c r="J575" t="s">
        <v>3</v>
      </c>
      <c r="K575" s="1">
        <v>38925</v>
      </c>
      <c r="L575" t="s">
        <v>13</v>
      </c>
      <c r="M575" s="3">
        <v>60</v>
      </c>
      <c r="N575" s="2">
        <v>182.29246065825532</v>
      </c>
    </row>
    <row r="576" spans="9:14" x14ac:dyDescent="0.15">
      <c r="I576">
        <v>572</v>
      </c>
      <c r="J576" t="s">
        <v>5</v>
      </c>
      <c r="K576" s="1">
        <v>39057</v>
      </c>
      <c r="L576" t="s">
        <v>10</v>
      </c>
      <c r="M576" s="3">
        <v>40</v>
      </c>
      <c r="N576" s="2">
        <v>121.86602847443184</v>
      </c>
    </row>
    <row r="577" spans="9:14" x14ac:dyDescent="0.15">
      <c r="I577">
        <v>573</v>
      </c>
      <c r="J577" t="s">
        <v>0</v>
      </c>
      <c r="K577" s="1">
        <v>38562</v>
      </c>
      <c r="L577" t="s">
        <v>10</v>
      </c>
      <c r="M577" s="3">
        <v>-7</v>
      </c>
      <c r="N577" s="2">
        <v>-18.9155229231676</v>
      </c>
    </row>
    <row r="578" spans="9:14" x14ac:dyDescent="0.15">
      <c r="I578">
        <v>574</v>
      </c>
      <c r="J578" t="s">
        <v>8</v>
      </c>
      <c r="K578" s="1">
        <v>38254</v>
      </c>
      <c r="L578" t="s">
        <v>9</v>
      </c>
      <c r="M578" s="3">
        <v>39</v>
      </c>
      <c r="N578" s="2">
        <v>118.36577315011976</v>
      </c>
    </row>
    <row r="579" spans="9:14" x14ac:dyDescent="0.15">
      <c r="I579">
        <v>575</v>
      </c>
      <c r="J579" t="s">
        <v>2</v>
      </c>
      <c r="K579" s="1">
        <v>38353</v>
      </c>
      <c r="L579" t="s">
        <v>12</v>
      </c>
      <c r="M579" s="3">
        <v>84</v>
      </c>
      <c r="N579" s="2">
        <v>253.79033414178701</v>
      </c>
    </row>
    <row r="580" spans="9:14" x14ac:dyDescent="0.15">
      <c r="I580">
        <v>576</v>
      </c>
      <c r="J580" t="s">
        <v>0</v>
      </c>
      <c r="K580" s="1">
        <v>38837</v>
      </c>
      <c r="L580" t="s">
        <v>13</v>
      </c>
      <c r="M580" s="3">
        <v>92</v>
      </c>
      <c r="N580" s="2">
        <v>277.80911377540116</v>
      </c>
    </row>
    <row r="581" spans="9:14" x14ac:dyDescent="0.15">
      <c r="I581">
        <v>577</v>
      </c>
      <c r="J581" t="s">
        <v>3</v>
      </c>
      <c r="K581" s="1">
        <v>38628</v>
      </c>
      <c r="L581" t="s">
        <v>12</v>
      </c>
      <c r="M581" s="3">
        <v>68</v>
      </c>
      <c r="N581" s="2">
        <v>206.08318598884486</v>
      </c>
    </row>
    <row r="582" spans="9:14" x14ac:dyDescent="0.15">
      <c r="I582">
        <v>578</v>
      </c>
      <c r="J582" t="s">
        <v>3</v>
      </c>
      <c r="K582" s="1">
        <v>38298</v>
      </c>
      <c r="L582" t="s">
        <v>10</v>
      </c>
      <c r="M582" s="3">
        <v>7</v>
      </c>
      <c r="N582" s="2">
        <v>23.192583270070902</v>
      </c>
    </row>
    <row r="583" spans="9:14" x14ac:dyDescent="0.15">
      <c r="I583">
        <v>579</v>
      </c>
      <c r="J583" t="s">
        <v>4</v>
      </c>
      <c r="K583" s="1">
        <v>39002</v>
      </c>
      <c r="L583" t="s">
        <v>11</v>
      </c>
      <c r="M583" s="3">
        <v>-9</v>
      </c>
      <c r="N583" s="2">
        <v>-24.836237139949766</v>
      </c>
    </row>
    <row r="584" spans="9:14" x14ac:dyDescent="0.15">
      <c r="I584">
        <v>580</v>
      </c>
      <c r="J584" t="s">
        <v>7</v>
      </c>
      <c r="K584" s="1">
        <v>38639</v>
      </c>
      <c r="L584" t="s">
        <v>12</v>
      </c>
      <c r="M584" s="3">
        <v>51</v>
      </c>
      <c r="N584" s="2">
        <v>154.40065127641515</v>
      </c>
    </row>
    <row r="585" spans="9:14" x14ac:dyDescent="0.15">
      <c r="I585">
        <v>581</v>
      </c>
      <c r="J585" t="s">
        <v>3</v>
      </c>
      <c r="K585" s="1">
        <v>38683</v>
      </c>
      <c r="L585" t="s">
        <v>10</v>
      </c>
      <c r="M585" s="3">
        <v>59</v>
      </c>
      <c r="N585" s="2">
        <v>178.89731679899467</v>
      </c>
    </row>
    <row r="586" spans="9:14" x14ac:dyDescent="0.15">
      <c r="I586">
        <v>582</v>
      </c>
      <c r="J586" t="s">
        <v>1</v>
      </c>
      <c r="K586" s="1">
        <v>38661</v>
      </c>
      <c r="L586" t="s">
        <v>12</v>
      </c>
      <c r="M586" s="3">
        <v>64</v>
      </c>
      <c r="N586" s="2">
        <v>194.44151134010454</v>
      </c>
    </row>
    <row r="587" spans="9:14" x14ac:dyDescent="0.15">
      <c r="I587">
        <v>583</v>
      </c>
      <c r="J587" t="s">
        <v>7</v>
      </c>
      <c r="K587" s="1">
        <v>38672</v>
      </c>
      <c r="L587" t="s">
        <v>10</v>
      </c>
      <c r="M587" s="3">
        <v>0</v>
      </c>
      <c r="N587" s="2">
        <v>2.516330534249033</v>
      </c>
    </row>
    <row r="588" spans="9:14" x14ac:dyDescent="0.15">
      <c r="I588">
        <v>584</v>
      </c>
      <c r="J588" t="s">
        <v>0</v>
      </c>
      <c r="K588" s="1">
        <v>38397</v>
      </c>
      <c r="L588" t="s">
        <v>12</v>
      </c>
      <c r="M588" s="3">
        <v>81</v>
      </c>
      <c r="N588" s="2">
        <v>243.81590205081088</v>
      </c>
    </row>
    <row r="589" spans="9:14" x14ac:dyDescent="0.15">
      <c r="I589">
        <v>585</v>
      </c>
      <c r="J589" t="s">
        <v>5</v>
      </c>
      <c r="K589" s="1">
        <v>38452</v>
      </c>
      <c r="L589" t="s">
        <v>13</v>
      </c>
      <c r="M589" s="3">
        <v>93</v>
      </c>
      <c r="N589" s="2">
        <v>280.7978115895645</v>
      </c>
    </row>
    <row r="590" spans="9:14" x14ac:dyDescent="0.15">
      <c r="I590">
        <v>586</v>
      </c>
      <c r="J590" t="s">
        <v>7</v>
      </c>
      <c r="K590" s="1">
        <v>38749</v>
      </c>
      <c r="L590" t="s">
        <v>10</v>
      </c>
      <c r="M590" s="3">
        <v>20</v>
      </c>
      <c r="N590" s="2">
        <v>61.967424849894947</v>
      </c>
    </row>
    <row r="591" spans="9:14" x14ac:dyDescent="0.15">
      <c r="I591">
        <v>587</v>
      </c>
      <c r="J591" t="s">
        <v>6</v>
      </c>
      <c r="K591" s="1">
        <v>38507</v>
      </c>
      <c r="L591" t="s">
        <v>11</v>
      </c>
      <c r="M591" s="3">
        <v>39</v>
      </c>
      <c r="N591" s="2">
        <v>119.9083594229058</v>
      </c>
    </row>
    <row r="592" spans="9:14" x14ac:dyDescent="0.15">
      <c r="I592">
        <v>588</v>
      </c>
      <c r="J592" t="s">
        <v>1</v>
      </c>
      <c r="K592" s="1">
        <v>38287</v>
      </c>
      <c r="L592" t="s">
        <v>9</v>
      </c>
      <c r="M592" s="3">
        <v>6</v>
      </c>
      <c r="N592" s="2">
        <v>20.018331980892231</v>
      </c>
    </row>
    <row r="593" spans="9:14" x14ac:dyDescent="0.15">
      <c r="I593">
        <v>589</v>
      </c>
      <c r="J593" t="s">
        <v>1</v>
      </c>
      <c r="K593" s="1">
        <v>38034</v>
      </c>
      <c r="L593" t="s">
        <v>9</v>
      </c>
      <c r="M593" s="3">
        <v>34</v>
      </c>
      <c r="N593" s="2">
        <v>103.67942872150846</v>
      </c>
    </row>
    <row r="594" spans="9:14" x14ac:dyDescent="0.15">
      <c r="I594">
        <v>590</v>
      </c>
      <c r="J594" t="s">
        <v>3</v>
      </c>
      <c r="K594" s="1">
        <v>38749</v>
      </c>
      <c r="L594" t="s">
        <v>10</v>
      </c>
      <c r="M594" s="3">
        <v>33</v>
      </c>
      <c r="N594" s="2">
        <v>101.31101808549928</v>
      </c>
    </row>
    <row r="595" spans="9:14" x14ac:dyDescent="0.15">
      <c r="I595">
        <v>591</v>
      </c>
      <c r="J595" t="s">
        <v>6</v>
      </c>
      <c r="K595" s="1">
        <v>38001</v>
      </c>
      <c r="L595" t="s">
        <v>13</v>
      </c>
      <c r="M595" s="3">
        <v>-10</v>
      </c>
      <c r="N595" s="2">
        <v>-28.463885870908516</v>
      </c>
    </row>
    <row r="596" spans="9:14" x14ac:dyDescent="0.15">
      <c r="I596">
        <v>592</v>
      </c>
      <c r="J596" t="s">
        <v>7</v>
      </c>
      <c r="K596" s="1">
        <v>38936</v>
      </c>
      <c r="L596" t="s">
        <v>11</v>
      </c>
      <c r="M596" s="3">
        <v>47</v>
      </c>
      <c r="N596" s="2">
        <v>141.97140662710891</v>
      </c>
    </row>
    <row r="597" spans="9:14" x14ac:dyDescent="0.15">
      <c r="I597">
        <v>593</v>
      </c>
      <c r="J597" t="s">
        <v>5</v>
      </c>
      <c r="K597" s="1">
        <v>38001</v>
      </c>
      <c r="L597" t="s">
        <v>9</v>
      </c>
      <c r="M597" s="3">
        <v>94</v>
      </c>
      <c r="N597" s="2">
        <v>284.61276074739663</v>
      </c>
    </row>
    <row r="598" spans="9:14" x14ac:dyDescent="0.15">
      <c r="I598">
        <v>594</v>
      </c>
      <c r="J598" t="s">
        <v>3</v>
      </c>
      <c r="K598" s="1">
        <v>38870</v>
      </c>
      <c r="L598" t="s">
        <v>9</v>
      </c>
      <c r="M598" s="3">
        <v>92</v>
      </c>
      <c r="N598" s="2">
        <v>278.22640918878471</v>
      </c>
    </row>
    <row r="599" spans="9:14" x14ac:dyDescent="0.15">
      <c r="I599">
        <v>595</v>
      </c>
      <c r="J599" t="s">
        <v>2</v>
      </c>
      <c r="K599" s="1">
        <v>38364</v>
      </c>
      <c r="L599" t="s">
        <v>10</v>
      </c>
      <c r="M599" s="3">
        <v>68</v>
      </c>
      <c r="N599" s="2">
        <v>205.95905527766212</v>
      </c>
    </row>
    <row r="600" spans="9:14" x14ac:dyDescent="0.15">
      <c r="I600">
        <v>596</v>
      </c>
      <c r="J600" t="s">
        <v>0</v>
      </c>
      <c r="K600" s="1">
        <v>38067</v>
      </c>
      <c r="L600" t="s">
        <v>10</v>
      </c>
      <c r="M600" s="3">
        <v>37</v>
      </c>
      <c r="N600" s="2">
        <v>112.85151912863849</v>
      </c>
    </row>
    <row r="601" spans="9:14" x14ac:dyDescent="0.15">
      <c r="I601">
        <v>597</v>
      </c>
      <c r="J601" t="s">
        <v>5</v>
      </c>
      <c r="K601" s="1">
        <v>38188</v>
      </c>
      <c r="L601" t="s">
        <v>11</v>
      </c>
      <c r="M601" s="3">
        <v>78</v>
      </c>
      <c r="N601" s="2">
        <v>235.37144026519812</v>
      </c>
    </row>
    <row r="602" spans="9:14" x14ac:dyDescent="0.15">
      <c r="I602">
        <v>598</v>
      </c>
      <c r="J602" t="s">
        <v>3</v>
      </c>
      <c r="K602" s="1">
        <v>39057</v>
      </c>
      <c r="L602" t="s">
        <v>11</v>
      </c>
      <c r="M602" s="3">
        <v>14</v>
      </c>
      <c r="N602" s="2">
        <v>43.756013144501985</v>
      </c>
    </row>
    <row r="603" spans="9:14" x14ac:dyDescent="0.15">
      <c r="I603">
        <v>599</v>
      </c>
      <c r="J603" t="s">
        <v>7</v>
      </c>
      <c r="K603" s="1">
        <v>39024</v>
      </c>
      <c r="L603" t="s">
        <v>9</v>
      </c>
      <c r="M603" s="3">
        <v>33</v>
      </c>
      <c r="N603" s="2">
        <v>100.54958475062591</v>
      </c>
    </row>
    <row r="604" spans="9:14" x14ac:dyDescent="0.15">
      <c r="I604">
        <v>600</v>
      </c>
      <c r="J604" t="s">
        <v>5</v>
      </c>
      <c r="K604" s="1">
        <v>38155</v>
      </c>
      <c r="L604" t="s">
        <v>11</v>
      </c>
      <c r="M604" s="3">
        <v>64</v>
      </c>
      <c r="N604" s="2">
        <v>194.18188189830369</v>
      </c>
    </row>
    <row r="605" spans="9:14" x14ac:dyDescent="0.15">
      <c r="I605">
        <v>601</v>
      </c>
      <c r="J605" t="s">
        <v>4</v>
      </c>
      <c r="K605" s="1">
        <v>38936</v>
      </c>
      <c r="L605" t="s">
        <v>10</v>
      </c>
      <c r="M605" s="3">
        <v>6</v>
      </c>
      <c r="N605" s="2">
        <v>20.229703821540529</v>
      </c>
    </row>
    <row r="606" spans="9:14" x14ac:dyDescent="0.15">
      <c r="I606">
        <v>602</v>
      </c>
      <c r="J606" t="s">
        <v>7</v>
      </c>
      <c r="K606" s="1">
        <v>38870</v>
      </c>
      <c r="L606" t="s">
        <v>13</v>
      </c>
      <c r="M606" s="3">
        <v>65</v>
      </c>
      <c r="N606" s="2">
        <v>197.4890682991998</v>
      </c>
    </row>
    <row r="607" spans="9:14" x14ac:dyDescent="0.15">
      <c r="I607">
        <v>603</v>
      </c>
      <c r="J607" t="s">
        <v>8</v>
      </c>
      <c r="K607" s="1">
        <v>38001</v>
      </c>
      <c r="L607" t="s">
        <v>12</v>
      </c>
      <c r="M607" s="3">
        <v>24</v>
      </c>
      <c r="N607" s="2">
        <v>74.283089497229128</v>
      </c>
    </row>
    <row r="608" spans="9:14" x14ac:dyDescent="0.15">
      <c r="I608">
        <v>604</v>
      </c>
      <c r="J608" t="s">
        <v>2</v>
      </c>
      <c r="K608" s="1">
        <v>38705</v>
      </c>
      <c r="L608" t="s">
        <v>13</v>
      </c>
      <c r="M608" s="3">
        <v>89</v>
      </c>
      <c r="N608" s="2">
        <v>269.00888504806545</v>
      </c>
    </row>
    <row r="609" spans="9:14" x14ac:dyDescent="0.15">
      <c r="I609">
        <v>605</v>
      </c>
      <c r="J609" t="s">
        <v>2</v>
      </c>
      <c r="K609" s="1">
        <v>38628</v>
      </c>
      <c r="L609" t="s">
        <v>12</v>
      </c>
      <c r="M609" s="3">
        <v>94</v>
      </c>
      <c r="N609" s="2">
        <v>284.24987523561106</v>
      </c>
    </row>
    <row r="610" spans="9:14" x14ac:dyDescent="0.15">
      <c r="I610">
        <v>606</v>
      </c>
      <c r="J610" t="s">
        <v>4</v>
      </c>
      <c r="K610" s="1">
        <v>38694</v>
      </c>
      <c r="L610" t="s">
        <v>9</v>
      </c>
      <c r="M610" s="3">
        <v>67</v>
      </c>
      <c r="N610" s="2">
        <v>203.71315269974144</v>
      </c>
    </row>
    <row r="611" spans="9:14" x14ac:dyDescent="0.15">
      <c r="I611">
        <v>607</v>
      </c>
      <c r="J611" t="s">
        <v>2</v>
      </c>
      <c r="K611" s="1">
        <v>38210</v>
      </c>
      <c r="L611" t="s">
        <v>12</v>
      </c>
      <c r="M611" s="3">
        <v>7</v>
      </c>
      <c r="N611" s="2">
        <v>23.434372885216568</v>
      </c>
    </row>
    <row r="612" spans="9:14" x14ac:dyDescent="0.15">
      <c r="I612">
        <v>608</v>
      </c>
      <c r="J612" t="s">
        <v>2</v>
      </c>
      <c r="K612" s="1">
        <v>38254</v>
      </c>
      <c r="L612" t="s">
        <v>9</v>
      </c>
      <c r="M612" s="3">
        <v>58</v>
      </c>
      <c r="N612" s="2">
        <v>176.00311303023639</v>
      </c>
    </row>
    <row r="613" spans="9:14" x14ac:dyDescent="0.15">
      <c r="I613">
        <v>609</v>
      </c>
      <c r="J613" t="s">
        <v>0</v>
      </c>
      <c r="K613" s="1">
        <v>38155</v>
      </c>
      <c r="L613" t="s">
        <v>12</v>
      </c>
      <c r="M613" s="3">
        <v>77</v>
      </c>
      <c r="N613" s="2">
        <v>232.66821530494673</v>
      </c>
    </row>
    <row r="614" spans="9:14" x14ac:dyDescent="0.15">
      <c r="I614">
        <v>610</v>
      </c>
      <c r="J614" t="s">
        <v>4</v>
      </c>
      <c r="K614" s="1">
        <v>38606</v>
      </c>
      <c r="L614" t="s">
        <v>11</v>
      </c>
      <c r="M614" s="3">
        <v>50</v>
      </c>
      <c r="N614" s="2">
        <v>151.12327703696886</v>
      </c>
    </row>
    <row r="615" spans="9:14" x14ac:dyDescent="0.15">
      <c r="I615">
        <v>611</v>
      </c>
      <c r="J615" t="s">
        <v>8</v>
      </c>
      <c r="K615" s="1">
        <v>38936</v>
      </c>
      <c r="L615" t="s">
        <v>10</v>
      </c>
      <c r="M615" s="3">
        <v>10</v>
      </c>
      <c r="N615" s="2">
        <v>32.139866181276794</v>
      </c>
    </row>
    <row r="616" spans="9:14" x14ac:dyDescent="0.15">
      <c r="I616">
        <v>612</v>
      </c>
      <c r="J616" t="s">
        <v>3</v>
      </c>
      <c r="K616" s="1">
        <v>38595</v>
      </c>
      <c r="L616" t="s">
        <v>12</v>
      </c>
      <c r="M616" s="3">
        <v>2</v>
      </c>
      <c r="N616" s="2">
        <v>7.7805066936063501</v>
      </c>
    </row>
    <row r="617" spans="9:14" x14ac:dyDescent="0.15">
      <c r="I617">
        <v>613</v>
      </c>
      <c r="J617" t="s">
        <v>6</v>
      </c>
      <c r="K617" s="1">
        <v>38925</v>
      </c>
      <c r="L617" t="s">
        <v>12</v>
      </c>
      <c r="M617" s="3">
        <v>17</v>
      </c>
      <c r="N617" s="2">
        <v>53.692138808043005</v>
      </c>
    </row>
    <row r="618" spans="9:14" x14ac:dyDescent="0.15">
      <c r="I618">
        <v>614</v>
      </c>
      <c r="J618" t="s">
        <v>1</v>
      </c>
      <c r="K618" s="1">
        <v>38474</v>
      </c>
      <c r="L618" t="s">
        <v>12</v>
      </c>
      <c r="M618" s="3">
        <v>90</v>
      </c>
      <c r="N618" s="2">
        <v>272.41389128062559</v>
      </c>
    </row>
    <row r="619" spans="9:14" x14ac:dyDescent="0.15">
      <c r="I619">
        <v>615</v>
      </c>
      <c r="J619" t="s">
        <v>3</v>
      </c>
      <c r="K619" s="1">
        <v>39046</v>
      </c>
      <c r="L619" t="s">
        <v>9</v>
      </c>
      <c r="M619" s="3">
        <v>58</v>
      </c>
      <c r="N619" s="2">
        <v>175.59064342356595</v>
      </c>
    </row>
    <row r="620" spans="9:14" x14ac:dyDescent="0.15">
      <c r="I620">
        <v>616</v>
      </c>
      <c r="J620" t="s">
        <v>1</v>
      </c>
      <c r="K620" s="1">
        <v>38738</v>
      </c>
      <c r="L620" t="s">
        <v>12</v>
      </c>
      <c r="M620" s="3">
        <v>66</v>
      </c>
      <c r="N620" s="2">
        <v>199.92690698146819</v>
      </c>
    </row>
    <row r="621" spans="9:14" x14ac:dyDescent="0.15">
      <c r="I621">
        <v>617</v>
      </c>
      <c r="J621" t="s">
        <v>0</v>
      </c>
      <c r="K621" s="1">
        <v>38166</v>
      </c>
      <c r="L621" t="s">
        <v>11</v>
      </c>
      <c r="M621" s="3">
        <v>6</v>
      </c>
      <c r="N621" s="2">
        <v>20.242222983134283</v>
      </c>
    </row>
    <row r="622" spans="9:14" x14ac:dyDescent="0.15">
      <c r="I622">
        <v>618</v>
      </c>
      <c r="J622" t="s">
        <v>2</v>
      </c>
      <c r="K622" s="1">
        <v>38826</v>
      </c>
      <c r="L622" t="s">
        <v>10</v>
      </c>
      <c r="M622" s="3">
        <v>90</v>
      </c>
      <c r="N622" s="2">
        <v>272.58718593660444</v>
      </c>
    </row>
    <row r="623" spans="9:14" x14ac:dyDescent="0.15">
      <c r="I623">
        <v>619</v>
      </c>
      <c r="J623" t="s">
        <v>2</v>
      </c>
      <c r="K623" s="1">
        <v>38859</v>
      </c>
      <c r="L623" t="s">
        <v>10</v>
      </c>
      <c r="M623" s="3">
        <v>38</v>
      </c>
      <c r="N623" s="2">
        <v>115.85799136725458</v>
      </c>
    </row>
    <row r="624" spans="9:14" x14ac:dyDescent="0.15">
      <c r="I624">
        <v>620</v>
      </c>
      <c r="J624" t="s">
        <v>1</v>
      </c>
      <c r="K624" s="1">
        <v>38265</v>
      </c>
      <c r="L624" t="s">
        <v>12</v>
      </c>
      <c r="M624" s="3">
        <v>3</v>
      </c>
      <c r="N624" s="2">
        <v>10.907655295049528</v>
      </c>
    </row>
    <row r="625" spans="9:14" x14ac:dyDescent="0.15">
      <c r="I625">
        <v>621</v>
      </c>
      <c r="J625" t="s">
        <v>5</v>
      </c>
      <c r="K625" s="1">
        <v>38089</v>
      </c>
      <c r="L625" t="s">
        <v>9</v>
      </c>
      <c r="M625" s="3">
        <v>-4</v>
      </c>
      <c r="N625" s="2">
        <v>-10.39215955971811</v>
      </c>
    </row>
    <row r="626" spans="9:14" x14ac:dyDescent="0.15">
      <c r="I626">
        <v>622</v>
      </c>
      <c r="J626" t="s">
        <v>6</v>
      </c>
      <c r="K626" s="1">
        <v>38155</v>
      </c>
      <c r="L626" t="s">
        <v>11</v>
      </c>
      <c r="M626" s="3">
        <v>8</v>
      </c>
      <c r="N626" s="2">
        <v>25.899680153324056</v>
      </c>
    </row>
    <row r="627" spans="9:14" x14ac:dyDescent="0.15">
      <c r="I627">
        <v>623</v>
      </c>
      <c r="J627" t="s">
        <v>2</v>
      </c>
      <c r="K627" s="1">
        <v>38078</v>
      </c>
      <c r="L627" t="s">
        <v>12</v>
      </c>
      <c r="M627" s="3">
        <v>-8</v>
      </c>
      <c r="N627" s="2">
        <v>-22.23218548835203</v>
      </c>
    </row>
    <row r="628" spans="9:14" x14ac:dyDescent="0.15">
      <c r="I628">
        <v>624</v>
      </c>
      <c r="J628" t="s">
        <v>3</v>
      </c>
      <c r="K628" s="1">
        <v>38254</v>
      </c>
      <c r="L628" t="s">
        <v>12</v>
      </c>
      <c r="M628" s="3">
        <v>72</v>
      </c>
      <c r="N628" s="2">
        <v>218.68777878091251</v>
      </c>
    </row>
    <row r="629" spans="9:14" x14ac:dyDescent="0.15">
      <c r="I629">
        <v>625</v>
      </c>
      <c r="J629" t="s">
        <v>0</v>
      </c>
      <c r="K629" s="1">
        <v>38738</v>
      </c>
      <c r="L629" t="s">
        <v>11</v>
      </c>
      <c r="M629" s="3">
        <v>83</v>
      </c>
      <c r="N629" s="2">
        <v>250.66590250032371</v>
      </c>
    </row>
    <row r="630" spans="9:14" x14ac:dyDescent="0.15">
      <c r="I630">
        <v>626</v>
      </c>
      <c r="J630" t="s">
        <v>4</v>
      </c>
      <c r="K630" s="1">
        <v>38870</v>
      </c>
      <c r="L630" t="s">
        <v>9</v>
      </c>
      <c r="M630" s="3">
        <v>12</v>
      </c>
      <c r="N630" s="2">
        <v>38.977588204951147</v>
      </c>
    </row>
    <row r="631" spans="9:14" x14ac:dyDescent="0.15">
      <c r="I631">
        <v>627</v>
      </c>
      <c r="J631" t="s">
        <v>2</v>
      </c>
      <c r="K631" s="1">
        <v>38859</v>
      </c>
      <c r="L631" t="s">
        <v>9</v>
      </c>
      <c r="M631" s="3">
        <v>-8</v>
      </c>
      <c r="N631" s="2">
        <v>-21.533260342562944</v>
      </c>
    </row>
    <row r="632" spans="9:14" x14ac:dyDescent="0.15">
      <c r="I632">
        <v>628</v>
      </c>
      <c r="J632" t="s">
        <v>8</v>
      </c>
      <c r="K632" s="1">
        <v>38760</v>
      </c>
      <c r="L632" t="s">
        <v>11</v>
      </c>
      <c r="M632" s="3">
        <v>22</v>
      </c>
      <c r="N632" s="2">
        <v>68.129641213452771</v>
      </c>
    </row>
    <row r="633" spans="9:14" x14ac:dyDescent="0.15">
      <c r="I633">
        <v>629</v>
      </c>
      <c r="J633" t="s">
        <v>1</v>
      </c>
      <c r="K633" s="1">
        <v>39024</v>
      </c>
      <c r="L633" t="s">
        <v>12</v>
      </c>
      <c r="M633" s="3">
        <v>-2</v>
      </c>
      <c r="N633" s="2">
        <v>-3.8295287737581956</v>
      </c>
    </row>
    <row r="634" spans="9:14" x14ac:dyDescent="0.15">
      <c r="I634">
        <v>630</v>
      </c>
      <c r="J634" t="s">
        <v>3</v>
      </c>
      <c r="K634" s="1">
        <v>38727</v>
      </c>
      <c r="L634" t="s">
        <v>9</v>
      </c>
      <c r="M634" s="3">
        <v>55</v>
      </c>
      <c r="N634" s="2">
        <v>166.77106419074752</v>
      </c>
    </row>
    <row r="635" spans="9:14" x14ac:dyDescent="0.15">
      <c r="I635">
        <v>631</v>
      </c>
      <c r="J635" t="s">
        <v>0</v>
      </c>
      <c r="K635" s="1">
        <v>38892</v>
      </c>
      <c r="L635" t="s">
        <v>11</v>
      </c>
      <c r="M635" s="3">
        <v>40</v>
      </c>
      <c r="N635" s="2">
        <v>122.55166369572477</v>
      </c>
    </row>
    <row r="636" spans="9:14" x14ac:dyDescent="0.15">
      <c r="I636">
        <v>632</v>
      </c>
      <c r="J636" t="s">
        <v>8</v>
      </c>
      <c r="K636" s="1">
        <v>38529</v>
      </c>
      <c r="L636" t="s">
        <v>9</v>
      </c>
      <c r="M636" s="3">
        <v>61</v>
      </c>
      <c r="N636" s="2">
        <v>183.9597681482735</v>
      </c>
    </row>
    <row r="637" spans="9:14" x14ac:dyDescent="0.15">
      <c r="I637">
        <v>633</v>
      </c>
      <c r="J637" t="s">
        <v>3</v>
      </c>
      <c r="K637" s="1">
        <v>38518</v>
      </c>
      <c r="L637" t="s">
        <v>11</v>
      </c>
      <c r="M637" s="3">
        <v>40</v>
      </c>
      <c r="N637" s="2">
        <v>122.54107894599883</v>
      </c>
    </row>
    <row r="638" spans="9:14" x14ac:dyDescent="0.15">
      <c r="I638">
        <v>634</v>
      </c>
      <c r="J638" t="s">
        <v>0</v>
      </c>
      <c r="K638" s="1">
        <v>38969</v>
      </c>
      <c r="L638" t="s">
        <v>11</v>
      </c>
      <c r="M638" s="3">
        <v>31</v>
      </c>
      <c r="N638" s="2">
        <v>94.683925421109407</v>
      </c>
    </row>
    <row r="639" spans="9:14" x14ac:dyDescent="0.15">
      <c r="I639">
        <v>635</v>
      </c>
      <c r="J639" t="s">
        <v>8</v>
      </c>
      <c r="K639" s="1">
        <v>38100</v>
      </c>
      <c r="L639" t="s">
        <v>12</v>
      </c>
      <c r="M639" s="3">
        <v>6</v>
      </c>
      <c r="N639" s="2">
        <v>20.454607256507078</v>
      </c>
    </row>
    <row r="640" spans="9:14" x14ac:dyDescent="0.15">
      <c r="I640">
        <v>636</v>
      </c>
      <c r="J640" t="s">
        <v>3</v>
      </c>
      <c r="K640" s="1">
        <v>38650</v>
      </c>
      <c r="L640" t="s">
        <v>9</v>
      </c>
      <c r="M640" s="3">
        <v>-6</v>
      </c>
      <c r="N640" s="2">
        <v>-16.100658619760122</v>
      </c>
    </row>
    <row r="641" spans="9:14" x14ac:dyDescent="0.15">
      <c r="I641">
        <v>637</v>
      </c>
      <c r="J641" t="s">
        <v>3</v>
      </c>
      <c r="K641" s="1">
        <v>38540</v>
      </c>
      <c r="L641" t="s">
        <v>11</v>
      </c>
      <c r="M641" s="3">
        <v>14</v>
      </c>
      <c r="N641" s="2">
        <v>43.396216100245972</v>
      </c>
    </row>
    <row r="642" spans="9:14" x14ac:dyDescent="0.15">
      <c r="I642">
        <v>638</v>
      </c>
      <c r="J642" t="s">
        <v>3</v>
      </c>
      <c r="K642" s="1">
        <v>38199</v>
      </c>
      <c r="L642" t="s">
        <v>12</v>
      </c>
      <c r="M642" s="3">
        <v>94</v>
      </c>
      <c r="N642" s="2">
        <v>283.87519041996188</v>
      </c>
    </row>
    <row r="643" spans="9:14" x14ac:dyDescent="0.15">
      <c r="I643">
        <v>639</v>
      </c>
      <c r="J643" t="s">
        <v>0</v>
      </c>
      <c r="K643" s="1">
        <v>38562</v>
      </c>
      <c r="L643" t="s">
        <v>12</v>
      </c>
      <c r="M643" s="3">
        <v>70</v>
      </c>
      <c r="N643" s="2">
        <v>212.26863794218977</v>
      </c>
    </row>
    <row r="644" spans="9:14" x14ac:dyDescent="0.15">
      <c r="I644">
        <v>640</v>
      </c>
      <c r="J644" t="s">
        <v>5</v>
      </c>
      <c r="K644" s="1">
        <v>38298</v>
      </c>
      <c r="L644" t="s">
        <v>10</v>
      </c>
      <c r="M644" s="3">
        <v>-8</v>
      </c>
      <c r="N644" s="2">
        <v>-21.44176526239897</v>
      </c>
    </row>
    <row r="645" spans="9:14" x14ac:dyDescent="0.15">
      <c r="I645">
        <v>641</v>
      </c>
      <c r="J645" t="s">
        <v>5</v>
      </c>
      <c r="K645" s="1">
        <v>39024</v>
      </c>
      <c r="L645" t="s">
        <v>10</v>
      </c>
      <c r="M645" s="3">
        <v>-8</v>
      </c>
      <c r="N645" s="2">
        <v>-21.90881602461678</v>
      </c>
    </row>
    <row r="646" spans="9:14" x14ac:dyDescent="0.15">
      <c r="I646">
        <v>642</v>
      </c>
      <c r="J646" t="s">
        <v>6</v>
      </c>
      <c r="K646" s="1">
        <v>38716</v>
      </c>
      <c r="L646" t="s">
        <v>12</v>
      </c>
      <c r="M646" s="3">
        <v>2</v>
      </c>
      <c r="N646" s="2">
        <v>7.6416014365752867</v>
      </c>
    </row>
    <row r="647" spans="9:14" x14ac:dyDescent="0.15">
      <c r="I647">
        <v>643</v>
      </c>
      <c r="J647" t="s">
        <v>3</v>
      </c>
      <c r="K647" s="1">
        <v>37990</v>
      </c>
      <c r="L647" t="s">
        <v>13</v>
      </c>
      <c r="M647" s="3">
        <v>10</v>
      </c>
      <c r="N647" s="2">
        <v>31.842188072685396</v>
      </c>
    </row>
    <row r="648" spans="9:14" x14ac:dyDescent="0.15">
      <c r="I648">
        <v>644</v>
      </c>
      <c r="J648" t="s">
        <v>7</v>
      </c>
      <c r="K648" s="1">
        <v>38474</v>
      </c>
      <c r="L648" t="s">
        <v>11</v>
      </c>
      <c r="M648" s="3">
        <v>51</v>
      </c>
      <c r="N648" s="2">
        <v>154.53175695635341</v>
      </c>
    </row>
    <row r="649" spans="9:14" x14ac:dyDescent="0.15">
      <c r="I649">
        <v>645</v>
      </c>
      <c r="J649" t="s">
        <v>7</v>
      </c>
      <c r="K649" s="1">
        <v>38078</v>
      </c>
      <c r="L649" t="s">
        <v>11</v>
      </c>
      <c r="M649" s="3">
        <v>5</v>
      </c>
      <c r="N649" s="2">
        <v>16.85379509706091</v>
      </c>
    </row>
    <row r="650" spans="9:14" x14ac:dyDescent="0.15">
      <c r="I650">
        <v>646</v>
      </c>
      <c r="J650" t="s">
        <v>5</v>
      </c>
      <c r="K650" s="1">
        <v>38870</v>
      </c>
      <c r="L650" t="s">
        <v>11</v>
      </c>
      <c r="M650" s="3">
        <v>39</v>
      </c>
      <c r="N650" s="2">
        <v>119.48835042374725</v>
      </c>
    </row>
    <row r="651" spans="9:14" x14ac:dyDescent="0.15">
      <c r="I651">
        <v>647</v>
      </c>
      <c r="J651" t="s">
        <v>6</v>
      </c>
      <c r="K651" s="1">
        <v>38067</v>
      </c>
      <c r="L651" t="s">
        <v>11</v>
      </c>
      <c r="M651" s="3">
        <v>20</v>
      </c>
      <c r="N651" s="2">
        <v>61.926239627210521</v>
      </c>
    </row>
    <row r="652" spans="9:14" x14ac:dyDescent="0.15">
      <c r="I652">
        <v>648</v>
      </c>
      <c r="J652" t="s">
        <v>5</v>
      </c>
      <c r="K652" s="1">
        <v>38320</v>
      </c>
      <c r="L652" t="s">
        <v>9</v>
      </c>
      <c r="M652" s="3">
        <v>29</v>
      </c>
      <c r="N652" s="2">
        <v>88.79031532479398</v>
      </c>
    </row>
    <row r="653" spans="9:14" x14ac:dyDescent="0.15">
      <c r="I653">
        <v>649</v>
      </c>
      <c r="J653" t="s">
        <v>4</v>
      </c>
      <c r="K653" s="1">
        <v>38749</v>
      </c>
      <c r="L653" t="s">
        <v>9</v>
      </c>
      <c r="M653" s="3">
        <v>43</v>
      </c>
      <c r="N653" s="2">
        <v>130.59550390758056</v>
      </c>
    </row>
    <row r="654" spans="9:14" x14ac:dyDescent="0.15">
      <c r="I654">
        <v>650</v>
      </c>
      <c r="J654" t="s">
        <v>6</v>
      </c>
      <c r="K654" s="1">
        <v>38232</v>
      </c>
      <c r="L654" t="s">
        <v>12</v>
      </c>
      <c r="M654" s="3">
        <v>40</v>
      </c>
      <c r="N654" s="2">
        <v>122.34177646477217</v>
      </c>
    </row>
    <row r="655" spans="9:14" x14ac:dyDescent="0.15">
      <c r="I655">
        <v>651</v>
      </c>
      <c r="J655" t="s">
        <v>5</v>
      </c>
      <c r="K655" s="1">
        <v>38760</v>
      </c>
      <c r="L655" t="s">
        <v>9</v>
      </c>
      <c r="M655" s="3">
        <v>36</v>
      </c>
      <c r="N655" s="2">
        <v>109.40924257339921</v>
      </c>
    </row>
    <row r="656" spans="9:14" x14ac:dyDescent="0.15">
      <c r="I656">
        <v>652</v>
      </c>
      <c r="J656" t="s">
        <v>5</v>
      </c>
      <c r="K656" s="1">
        <v>38375</v>
      </c>
      <c r="L656" t="s">
        <v>11</v>
      </c>
      <c r="M656" s="3">
        <v>88</v>
      </c>
      <c r="N656" s="2">
        <v>265.7031232579136</v>
      </c>
    </row>
    <row r="657" spans="9:14" x14ac:dyDescent="0.15">
      <c r="I657">
        <v>653</v>
      </c>
      <c r="J657" t="s">
        <v>8</v>
      </c>
      <c r="K657" s="1">
        <v>38386</v>
      </c>
      <c r="L657" t="s">
        <v>12</v>
      </c>
      <c r="M657" s="3">
        <v>55</v>
      </c>
      <c r="N657" s="2">
        <v>166.43173248267502</v>
      </c>
    </row>
    <row r="658" spans="9:14" x14ac:dyDescent="0.15">
      <c r="I658">
        <v>654</v>
      </c>
      <c r="J658" t="s">
        <v>0</v>
      </c>
      <c r="K658" s="1">
        <v>38342</v>
      </c>
      <c r="L658" t="s">
        <v>11</v>
      </c>
      <c r="M658" s="3">
        <v>65</v>
      </c>
      <c r="N658" s="2">
        <v>196.86478787466569</v>
      </c>
    </row>
    <row r="659" spans="9:14" x14ac:dyDescent="0.15">
      <c r="I659">
        <v>655</v>
      </c>
      <c r="J659" t="s">
        <v>0</v>
      </c>
      <c r="K659" s="1">
        <v>38540</v>
      </c>
      <c r="L659" t="s">
        <v>10</v>
      </c>
      <c r="M659" s="3">
        <v>6</v>
      </c>
      <c r="N659" s="2">
        <v>19.488992935915519</v>
      </c>
    </row>
    <row r="660" spans="9:14" x14ac:dyDescent="0.15">
      <c r="I660">
        <v>656</v>
      </c>
      <c r="J660" t="s">
        <v>7</v>
      </c>
      <c r="K660" s="1">
        <v>38859</v>
      </c>
      <c r="L660" t="s">
        <v>9</v>
      </c>
      <c r="M660" s="3">
        <v>-1</v>
      </c>
      <c r="N660" s="2">
        <v>-1.2299707953687746</v>
      </c>
    </row>
    <row r="661" spans="9:14" x14ac:dyDescent="0.15">
      <c r="I661">
        <v>657</v>
      </c>
      <c r="J661" t="s">
        <v>0</v>
      </c>
      <c r="K661" s="1">
        <v>38980</v>
      </c>
      <c r="L661" t="s">
        <v>9</v>
      </c>
      <c r="M661" s="3">
        <v>32</v>
      </c>
      <c r="N661" s="2">
        <v>97.808768000127685</v>
      </c>
    </row>
    <row r="662" spans="9:14" x14ac:dyDescent="0.15">
      <c r="I662">
        <v>658</v>
      </c>
      <c r="J662" t="s">
        <v>3</v>
      </c>
      <c r="K662" s="1">
        <v>38738</v>
      </c>
      <c r="L662" t="s">
        <v>12</v>
      </c>
      <c r="M662" s="3">
        <v>17</v>
      </c>
      <c r="N662" s="2">
        <v>53.061016492331653</v>
      </c>
    </row>
    <row r="663" spans="9:14" x14ac:dyDescent="0.15">
      <c r="I663">
        <v>659</v>
      </c>
      <c r="J663" t="s">
        <v>4</v>
      </c>
      <c r="K663" s="1">
        <v>38177</v>
      </c>
      <c r="L663" t="s">
        <v>11</v>
      </c>
      <c r="M663" s="3">
        <v>25</v>
      </c>
      <c r="N663" s="2">
        <v>76.378602488098551</v>
      </c>
    </row>
    <row r="664" spans="9:14" x14ac:dyDescent="0.15">
      <c r="I664">
        <v>660</v>
      </c>
      <c r="J664" t="s">
        <v>4</v>
      </c>
      <c r="K664" s="1">
        <v>38441</v>
      </c>
      <c r="L664" t="s">
        <v>11</v>
      </c>
      <c r="M664" s="3">
        <v>11</v>
      </c>
      <c r="N664" s="2">
        <v>35.7534803858521</v>
      </c>
    </row>
    <row r="665" spans="9:14" x14ac:dyDescent="0.15">
      <c r="I665">
        <v>661</v>
      </c>
      <c r="J665" t="s">
        <v>4</v>
      </c>
      <c r="K665" s="1">
        <v>38034</v>
      </c>
      <c r="L665" t="s">
        <v>12</v>
      </c>
      <c r="M665" s="3">
        <v>51</v>
      </c>
      <c r="N665" s="2">
        <v>155.019536467064</v>
      </c>
    </row>
    <row r="666" spans="9:14" x14ac:dyDescent="0.15">
      <c r="I666">
        <v>662</v>
      </c>
      <c r="J666" t="s">
        <v>5</v>
      </c>
      <c r="K666" s="1">
        <v>39024</v>
      </c>
      <c r="L666" t="s">
        <v>13</v>
      </c>
      <c r="M666" s="3">
        <v>25</v>
      </c>
      <c r="N666" s="2">
        <v>78.068436112651099</v>
      </c>
    </row>
    <row r="667" spans="9:14" x14ac:dyDescent="0.15">
      <c r="I667">
        <v>663</v>
      </c>
      <c r="J667" t="s">
        <v>3</v>
      </c>
      <c r="K667" s="1">
        <v>39035</v>
      </c>
      <c r="L667" t="s">
        <v>11</v>
      </c>
      <c r="M667" s="3">
        <v>27</v>
      </c>
      <c r="N667" s="2">
        <v>82.450851057331235</v>
      </c>
    </row>
    <row r="668" spans="9:14" x14ac:dyDescent="0.15">
      <c r="I668">
        <v>664</v>
      </c>
      <c r="J668" t="s">
        <v>8</v>
      </c>
      <c r="K668" s="1">
        <v>38518</v>
      </c>
      <c r="L668" t="s">
        <v>10</v>
      </c>
      <c r="M668" s="3">
        <v>38</v>
      </c>
      <c r="N668" s="2">
        <v>116.7885336432518</v>
      </c>
    </row>
    <row r="669" spans="9:14" x14ac:dyDescent="0.15">
      <c r="I669">
        <v>665</v>
      </c>
      <c r="J669" t="s">
        <v>1</v>
      </c>
      <c r="K669" s="1">
        <v>38980</v>
      </c>
      <c r="L669" t="s">
        <v>9</v>
      </c>
      <c r="M669" s="3">
        <v>27</v>
      </c>
      <c r="N669" s="2">
        <v>82.569702610812897</v>
      </c>
    </row>
    <row r="670" spans="9:14" x14ac:dyDescent="0.15">
      <c r="I670">
        <v>666</v>
      </c>
      <c r="J670" t="s">
        <v>0</v>
      </c>
      <c r="K670" s="1">
        <v>38881</v>
      </c>
      <c r="L670" t="s">
        <v>11</v>
      </c>
      <c r="M670" s="3">
        <v>59</v>
      </c>
      <c r="N670" s="2">
        <v>178.6321576680669</v>
      </c>
    </row>
    <row r="671" spans="9:14" x14ac:dyDescent="0.15">
      <c r="I671">
        <v>667</v>
      </c>
      <c r="J671" t="s">
        <v>7</v>
      </c>
      <c r="K671" s="1">
        <v>38760</v>
      </c>
      <c r="L671" t="s">
        <v>9</v>
      </c>
      <c r="M671" s="3">
        <v>73</v>
      </c>
      <c r="N671" s="2">
        <v>220.44792756124494</v>
      </c>
    </row>
    <row r="672" spans="9:14" x14ac:dyDescent="0.15">
      <c r="I672">
        <v>668</v>
      </c>
      <c r="J672" t="s">
        <v>2</v>
      </c>
      <c r="K672" s="1">
        <v>38595</v>
      </c>
      <c r="L672" t="s">
        <v>11</v>
      </c>
      <c r="M672" s="3">
        <v>43</v>
      </c>
      <c r="N672" s="2">
        <v>131.45497532370047</v>
      </c>
    </row>
    <row r="673" spans="9:14" x14ac:dyDescent="0.15">
      <c r="I673">
        <v>669</v>
      </c>
      <c r="J673" t="s">
        <v>1</v>
      </c>
      <c r="K673" s="1">
        <v>38903</v>
      </c>
      <c r="L673" t="s">
        <v>12</v>
      </c>
      <c r="M673" s="3">
        <v>51</v>
      </c>
      <c r="N673" s="2">
        <v>154.77819453893821</v>
      </c>
    </row>
    <row r="674" spans="9:14" x14ac:dyDescent="0.15">
      <c r="I674">
        <v>670</v>
      </c>
      <c r="J674" t="s">
        <v>8</v>
      </c>
      <c r="K674" s="1">
        <v>38243</v>
      </c>
      <c r="L674" t="s">
        <v>10</v>
      </c>
      <c r="M674" s="3">
        <v>32</v>
      </c>
      <c r="N674" s="2">
        <v>98.006987571648764</v>
      </c>
    </row>
    <row r="675" spans="9:14" x14ac:dyDescent="0.15">
      <c r="I675">
        <v>671</v>
      </c>
      <c r="J675" t="s">
        <v>4</v>
      </c>
      <c r="K675" s="1">
        <v>38815</v>
      </c>
      <c r="L675" t="s">
        <v>10</v>
      </c>
      <c r="M675" s="3">
        <v>89</v>
      </c>
      <c r="N675" s="2">
        <v>268.58829363415754</v>
      </c>
    </row>
    <row r="676" spans="9:14" x14ac:dyDescent="0.15">
      <c r="I676">
        <v>672</v>
      </c>
      <c r="J676" t="s">
        <v>0</v>
      </c>
      <c r="K676" s="1">
        <v>38683</v>
      </c>
      <c r="L676" t="s">
        <v>12</v>
      </c>
      <c r="M676" s="3">
        <v>-1</v>
      </c>
      <c r="N676" s="2">
        <v>-0.61047743439715862</v>
      </c>
    </row>
    <row r="677" spans="9:14" x14ac:dyDescent="0.15">
      <c r="I677">
        <v>673</v>
      </c>
      <c r="J677" t="s">
        <v>3</v>
      </c>
      <c r="K677" s="1">
        <v>38793</v>
      </c>
      <c r="L677" t="s">
        <v>11</v>
      </c>
      <c r="M677" s="3">
        <v>26</v>
      </c>
      <c r="N677" s="2">
        <v>81.086402502793618</v>
      </c>
    </row>
    <row r="678" spans="9:14" x14ac:dyDescent="0.15">
      <c r="I678">
        <v>674</v>
      </c>
      <c r="J678" t="s">
        <v>0</v>
      </c>
      <c r="K678" s="1">
        <v>38408</v>
      </c>
      <c r="L678" t="s">
        <v>9</v>
      </c>
      <c r="M678" s="3">
        <v>56</v>
      </c>
      <c r="N678" s="2">
        <v>170.28880484978066</v>
      </c>
    </row>
    <row r="679" spans="9:14" x14ac:dyDescent="0.15">
      <c r="I679">
        <v>675</v>
      </c>
      <c r="J679" t="s">
        <v>8</v>
      </c>
      <c r="K679" s="1">
        <v>38221</v>
      </c>
      <c r="L679" t="s">
        <v>10</v>
      </c>
      <c r="M679" s="3">
        <v>10</v>
      </c>
      <c r="N679" s="2">
        <v>32.446099013561927</v>
      </c>
    </row>
    <row r="680" spans="9:14" x14ac:dyDescent="0.15">
      <c r="I680">
        <v>676</v>
      </c>
      <c r="J680" t="s">
        <v>3</v>
      </c>
      <c r="K680" s="1">
        <v>38023</v>
      </c>
      <c r="L680" t="s">
        <v>13</v>
      </c>
      <c r="M680" s="3">
        <v>8</v>
      </c>
      <c r="N680" s="2">
        <v>25.639457060752605</v>
      </c>
    </row>
    <row r="681" spans="9:14" x14ac:dyDescent="0.15">
      <c r="I681">
        <v>677</v>
      </c>
      <c r="J681" t="s">
        <v>2</v>
      </c>
      <c r="K681" s="1">
        <v>38474</v>
      </c>
      <c r="L681" t="s">
        <v>11</v>
      </c>
      <c r="M681" s="3">
        <v>75</v>
      </c>
      <c r="N681" s="2">
        <v>226.81359807971779</v>
      </c>
    </row>
    <row r="682" spans="9:14" x14ac:dyDescent="0.15">
      <c r="I682">
        <v>678</v>
      </c>
      <c r="J682" t="s">
        <v>0</v>
      </c>
      <c r="K682" s="1">
        <v>38386</v>
      </c>
      <c r="L682" t="s">
        <v>9</v>
      </c>
      <c r="M682" s="3">
        <v>79</v>
      </c>
      <c r="N682" s="2">
        <v>239.4766385714239</v>
      </c>
    </row>
    <row r="683" spans="9:14" x14ac:dyDescent="0.15">
      <c r="I683">
        <v>679</v>
      </c>
      <c r="J683" t="s">
        <v>2</v>
      </c>
      <c r="K683" s="1">
        <v>38485</v>
      </c>
      <c r="L683" t="s">
        <v>9</v>
      </c>
      <c r="M683" s="3">
        <v>25</v>
      </c>
      <c r="N683" s="2">
        <v>75.944187671627063</v>
      </c>
    </row>
    <row r="684" spans="9:14" x14ac:dyDescent="0.15">
      <c r="I684">
        <v>680</v>
      </c>
      <c r="J684" t="s">
        <v>1</v>
      </c>
      <c r="K684" s="1">
        <v>39002</v>
      </c>
      <c r="L684" t="s">
        <v>10</v>
      </c>
      <c r="M684" s="3">
        <v>22</v>
      </c>
      <c r="N684" s="2">
        <v>68.814390503031333</v>
      </c>
    </row>
    <row r="685" spans="9:14" x14ac:dyDescent="0.15">
      <c r="I685">
        <v>681</v>
      </c>
      <c r="J685" t="s">
        <v>8</v>
      </c>
      <c r="K685" s="1">
        <v>38243</v>
      </c>
      <c r="L685" t="s">
        <v>13</v>
      </c>
      <c r="M685" s="3">
        <v>88</v>
      </c>
      <c r="N685" s="2">
        <v>265.64166976022739</v>
      </c>
    </row>
    <row r="686" spans="9:14" x14ac:dyDescent="0.15">
      <c r="I686">
        <v>682</v>
      </c>
      <c r="J686" t="s">
        <v>5</v>
      </c>
      <c r="K686" s="1">
        <v>38298</v>
      </c>
      <c r="L686" t="s">
        <v>9</v>
      </c>
      <c r="M686" s="3">
        <v>94</v>
      </c>
      <c r="N686" s="2">
        <v>284.32899274536834</v>
      </c>
    </row>
    <row r="687" spans="9:14" x14ac:dyDescent="0.15">
      <c r="I687">
        <v>683</v>
      </c>
      <c r="J687" t="s">
        <v>0</v>
      </c>
      <c r="K687" s="1">
        <v>38628</v>
      </c>
      <c r="L687" t="s">
        <v>12</v>
      </c>
      <c r="M687" s="3">
        <v>58</v>
      </c>
      <c r="N687" s="2">
        <v>176.72593852578336</v>
      </c>
    </row>
    <row r="688" spans="9:14" x14ac:dyDescent="0.15">
      <c r="I688">
        <v>684</v>
      </c>
      <c r="J688" t="s">
        <v>5</v>
      </c>
      <c r="K688" s="1">
        <v>38507</v>
      </c>
      <c r="L688" t="s">
        <v>10</v>
      </c>
      <c r="M688" s="3">
        <v>66</v>
      </c>
      <c r="N688" s="2">
        <v>200.20830019781053</v>
      </c>
    </row>
    <row r="689" spans="9:14" x14ac:dyDescent="0.15">
      <c r="I689">
        <v>685</v>
      </c>
      <c r="J689" t="s">
        <v>0</v>
      </c>
      <c r="K689" s="1">
        <v>38936</v>
      </c>
      <c r="L689" t="s">
        <v>11</v>
      </c>
      <c r="M689" s="3">
        <v>82</v>
      </c>
      <c r="N689" s="2">
        <v>247.93546068655294</v>
      </c>
    </row>
    <row r="690" spans="9:14" x14ac:dyDescent="0.15">
      <c r="I690">
        <v>686</v>
      </c>
      <c r="J690" t="s">
        <v>3</v>
      </c>
      <c r="K690" s="1">
        <v>38991</v>
      </c>
      <c r="L690" t="s">
        <v>9</v>
      </c>
      <c r="M690" s="3">
        <v>94</v>
      </c>
      <c r="N690" s="2">
        <v>283.7655668516507</v>
      </c>
    </row>
    <row r="691" spans="9:14" x14ac:dyDescent="0.15">
      <c r="I691">
        <v>687</v>
      </c>
      <c r="J691" t="s">
        <v>6</v>
      </c>
      <c r="K691" s="1">
        <v>39079</v>
      </c>
      <c r="L691" t="s">
        <v>10</v>
      </c>
      <c r="M691" s="3">
        <v>27</v>
      </c>
      <c r="N691" s="2">
        <v>82.883173616974645</v>
      </c>
    </row>
    <row r="692" spans="9:14" x14ac:dyDescent="0.15">
      <c r="I692">
        <v>688</v>
      </c>
      <c r="J692" t="s">
        <v>8</v>
      </c>
      <c r="K692" s="1">
        <v>38089</v>
      </c>
      <c r="L692" t="s">
        <v>13</v>
      </c>
      <c r="M692" s="3">
        <v>56</v>
      </c>
      <c r="N692" s="2">
        <v>169.95658667826987</v>
      </c>
    </row>
    <row r="693" spans="9:14" x14ac:dyDescent="0.15">
      <c r="I693">
        <v>689</v>
      </c>
      <c r="J693" t="s">
        <v>5</v>
      </c>
      <c r="K693" s="1">
        <v>38826</v>
      </c>
      <c r="L693" t="s">
        <v>12</v>
      </c>
      <c r="M693" s="3">
        <v>82</v>
      </c>
      <c r="N693" s="2">
        <v>247.80094907753815</v>
      </c>
    </row>
    <row r="694" spans="9:14" x14ac:dyDescent="0.15">
      <c r="I694">
        <v>690</v>
      </c>
      <c r="J694" t="s">
        <v>5</v>
      </c>
      <c r="K694" s="1">
        <v>38606</v>
      </c>
      <c r="L694" t="s">
        <v>12</v>
      </c>
      <c r="M694" s="3">
        <v>7</v>
      </c>
      <c r="N694" s="2">
        <v>23.067714309015152</v>
      </c>
    </row>
    <row r="695" spans="9:14" x14ac:dyDescent="0.15">
      <c r="I695">
        <v>691</v>
      </c>
      <c r="J695" t="s">
        <v>8</v>
      </c>
      <c r="K695" s="1">
        <v>38727</v>
      </c>
      <c r="L695" t="s">
        <v>10</v>
      </c>
      <c r="M695" s="3">
        <v>25</v>
      </c>
      <c r="N695" s="2">
        <v>77.367215999588439</v>
      </c>
    </row>
    <row r="696" spans="9:14" x14ac:dyDescent="0.15">
      <c r="I696">
        <v>692</v>
      </c>
      <c r="J696" t="s">
        <v>6</v>
      </c>
      <c r="K696" s="1">
        <v>39079</v>
      </c>
      <c r="L696" t="s">
        <v>9</v>
      </c>
      <c r="M696" s="3">
        <v>15</v>
      </c>
      <c r="N696" s="2">
        <v>46.808970139122437</v>
      </c>
    </row>
    <row r="697" spans="9:14" x14ac:dyDescent="0.15">
      <c r="I697">
        <v>693</v>
      </c>
      <c r="J697" t="s">
        <v>0</v>
      </c>
      <c r="K697" s="1">
        <v>38265</v>
      </c>
      <c r="L697" t="s">
        <v>9</v>
      </c>
      <c r="M697" s="3">
        <v>39</v>
      </c>
      <c r="N697" s="2">
        <v>118.82068608795676</v>
      </c>
    </row>
    <row r="698" spans="9:14" x14ac:dyDescent="0.15">
      <c r="I698">
        <v>694</v>
      </c>
      <c r="J698" t="s">
        <v>8</v>
      </c>
      <c r="K698" s="1">
        <v>38628</v>
      </c>
      <c r="L698" t="s">
        <v>10</v>
      </c>
      <c r="M698" s="3">
        <v>22</v>
      </c>
      <c r="N698" s="2">
        <v>67.920921050637091</v>
      </c>
    </row>
    <row r="699" spans="9:14" x14ac:dyDescent="0.15">
      <c r="I699">
        <v>695</v>
      </c>
      <c r="J699" t="s">
        <v>4</v>
      </c>
      <c r="K699" s="1">
        <v>38430</v>
      </c>
      <c r="L699" t="s">
        <v>13</v>
      </c>
      <c r="M699" s="3">
        <v>0</v>
      </c>
      <c r="N699" s="2">
        <v>1.5802940518086344</v>
      </c>
    </row>
    <row r="700" spans="9:14" x14ac:dyDescent="0.15">
      <c r="I700">
        <v>696</v>
      </c>
      <c r="J700" t="s">
        <v>8</v>
      </c>
      <c r="K700" s="1">
        <v>38188</v>
      </c>
      <c r="L700" t="s">
        <v>12</v>
      </c>
      <c r="M700" s="3">
        <v>47</v>
      </c>
      <c r="N700" s="2">
        <v>142.62566704955398</v>
      </c>
    </row>
    <row r="701" spans="9:14" x14ac:dyDescent="0.15">
      <c r="I701">
        <v>697</v>
      </c>
      <c r="J701" t="s">
        <v>0</v>
      </c>
      <c r="K701" s="1">
        <v>38782</v>
      </c>
      <c r="L701" t="s">
        <v>13</v>
      </c>
      <c r="M701" s="3">
        <v>36</v>
      </c>
      <c r="N701" s="2">
        <v>110.25851548113316</v>
      </c>
    </row>
    <row r="702" spans="9:14" x14ac:dyDescent="0.15">
      <c r="I702">
        <v>698</v>
      </c>
      <c r="J702" t="s">
        <v>0</v>
      </c>
      <c r="K702" s="1">
        <v>38243</v>
      </c>
      <c r="L702" t="s">
        <v>11</v>
      </c>
      <c r="M702" s="3">
        <v>46</v>
      </c>
      <c r="N702" s="2">
        <v>139.52847109810006</v>
      </c>
    </row>
    <row r="703" spans="9:14" x14ac:dyDescent="0.15">
      <c r="I703">
        <v>699</v>
      </c>
      <c r="J703" t="s">
        <v>5</v>
      </c>
      <c r="K703" s="1">
        <v>38837</v>
      </c>
      <c r="L703" t="s">
        <v>11</v>
      </c>
      <c r="M703" s="3">
        <v>84</v>
      </c>
      <c r="N703" s="2">
        <v>253.68258531303155</v>
      </c>
    </row>
    <row r="704" spans="9:14" x14ac:dyDescent="0.15">
      <c r="I704">
        <v>700</v>
      </c>
      <c r="J704" t="s">
        <v>1</v>
      </c>
      <c r="K704" s="1">
        <v>38067</v>
      </c>
      <c r="L704" t="s">
        <v>10</v>
      </c>
      <c r="M704" s="3">
        <v>38</v>
      </c>
      <c r="N704" s="2">
        <v>115.76504648002317</v>
      </c>
    </row>
    <row r="705" spans="9:14" x14ac:dyDescent="0.15">
      <c r="I705">
        <v>701</v>
      </c>
      <c r="J705" t="s">
        <v>8</v>
      </c>
      <c r="K705" s="1">
        <v>38133</v>
      </c>
      <c r="L705" t="s">
        <v>10</v>
      </c>
      <c r="M705" s="3">
        <v>13</v>
      </c>
      <c r="N705" s="2">
        <v>40.473506204312045</v>
      </c>
    </row>
    <row r="706" spans="9:14" x14ac:dyDescent="0.15">
      <c r="I706">
        <v>702</v>
      </c>
      <c r="J706" t="s">
        <v>5</v>
      </c>
      <c r="K706" s="1">
        <v>38826</v>
      </c>
      <c r="L706" t="s">
        <v>9</v>
      </c>
      <c r="M706" s="3">
        <v>40</v>
      </c>
      <c r="N706" s="2">
        <v>122.42180451643387</v>
      </c>
    </row>
    <row r="707" spans="9:14" x14ac:dyDescent="0.15">
      <c r="I707">
        <v>703</v>
      </c>
      <c r="J707" t="s">
        <v>2</v>
      </c>
      <c r="K707" s="1">
        <v>38155</v>
      </c>
      <c r="L707" t="s">
        <v>13</v>
      </c>
      <c r="M707" s="3">
        <v>46</v>
      </c>
      <c r="N707" s="2">
        <v>139.4072220659846</v>
      </c>
    </row>
    <row r="708" spans="9:14" x14ac:dyDescent="0.15">
      <c r="I708">
        <v>704</v>
      </c>
      <c r="J708" t="s">
        <v>7</v>
      </c>
      <c r="K708" s="1">
        <v>38199</v>
      </c>
      <c r="L708" t="s">
        <v>11</v>
      </c>
      <c r="M708" s="3">
        <v>11</v>
      </c>
      <c r="N708" s="2">
        <v>35.105222117013575</v>
      </c>
    </row>
    <row r="709" spans="9:14" x14ac:dyDescent="0.15">
      <c r="I709">
        <v>705</v>
      </c>
      <c r="J709" t="s">
        <v>6</v>
      </c>
      <c r="K709" s="1">
        <v>38518</v>
      </c>
      <c r="L709" t="s">
        <v>10</v>
      </c>
      <c r="M709" s="3">
        <v>-1</v>
      </c>
      <c r="N709" s="2">
        <v>-0.89822589573278755</v>
      </c>
    </row>
    <row r="710" spans="9:14" x14ac:dyDescent="0.15">
      <c r="I710">
        <v>706</v>
      </c>
      <c r="J710" t="s">
        <v>6</v>
      </c>
      <c r="K710" s="1">
        <v>38056</v>
      </c>
      <c r="L710" t="s">
        <v>10</v>
      </c>
      <c r="M710" s="3">
        <v>32</v>
      </c>
      <c r="N710" s="2">
        <v>98.618549497009866</v>
      </c>
    </row>
    <row r="711" spans="9:14" x14ac:dyDescent="0.15">
      <c r="I711">
        <v>707</v>
      </c>
      <c r="J711" t="s">
        <v>7</v>
      </c>
      <c r="K711" s="1">
        <v>38001</v>
      </c>
      <c r="L711" t="s">
        <v>9</v>
      </c>
      <c r="M711" s="3">
        <v>78</v>
      </c>
      <c r="N711" s="2">
        <v>235.37746360511863</v>
      </c>
    </row>
    <row r="712" spans="9:14" x14ac:dyDescent="0.15">
      <c r="I712">
        <v>708</v>
      </c>
      <c r="J712" t="s">
        <v>6</v>
      </c>
      <c r="K712" s="1">
        <v>38375</v>
      </c>
      <c r="L712" t="s">
        <v>13</v>
      </c>
      <c r="M712" s="3">
        <v>71</v>
      </c>
      <c r="N712" s="2">
        <v>215.14334620644152</v>
      </c>
    </row>
    <row r="713" spans="9:14" x14ac:dyDescent="0.15">
      <c r="I713">
        <v>709</v>
      </c>
      <c r="J713" t="s">
        <v>2</v>
      </c>
      <c r="K713" s="1">
        <v>38100</v>
      </c>
      <c r="L713" t="s">
        <v>10</v>
      </c>
      <c r="M713" s="3">
        <v>36</v>
      </c>
      <c r="N713" s="2">
        <v>109.79941093344995</v>
      </c>
    </row>
    <row r="714" spans="9:14" x14ac:dyDescent="0.15">
      <c r="I714">
        <v>710</v>
      </c>
      <c r="J714" t="s">
        <v>0</v>
      </c>
      <c r="K714" s="1">
        <v>38221</v>
      </c>
      <c r="L714" t="s">
        <v>12</v>
      </c>
      <c r="M714" s="3">
        <v>79</v>
      </c>
      <c r="N714" s="2">
        <v>238.7528909715526</v>
      </c>
    </row>
    <row r="715" spans="9:14" x14ac:dyDescent="0.15">
      <c r="I715">
        <v>711</v>
      </c>
      <c r="J715" t="s">
        <v>6</v>
      </c>
      <c r="K715" s="1">
        <v>38573</v>
      </c>
      <c r="L715" t="s">
        <v>13</v>
      </c>
      <c r="M715" s="3">
        <v>92</v>
      </c>
      <c r="N715" s="2">
        <v>278.33689319640729</v>
      </c>
    </row>
    <row r="716" spans="9:14" x14ac:dyDescent="0.15">
      <c r="I716">
        <v>712</v>
      </c>
      <c r="J716" t="s">
        <v>3</v>
      </c>
      <c r="K716" s="1">
        <v>38001</v>
      </c>
      <c r="L716" t="s">
        <v>9</v>
      </c>
      <c r="M716" s="3">
        <v>38</v>
      </c>
      <c r="N716" s="2">
        <v>116.20226134841927</v>
      </c>
    </row>
    <row r="717" spans="9:14" x14ac:dyDescent="0.15">
      <c r="I717">
        <v>713</v>
      </c>
      <c r="J717" t="s">
        <v>8</v>
      </c>
      <c r="K717" s="1">
        <v>39057</v>
      </c>
      <c r="L717" t="s">
        <v>12</v>
      </c>
      <c r="M717" s="3">
        <v>50</v>
      </c>
      <c r="N717" s="2">
        <v>152.08468006915191</v>
      </c>
    </row>
    <row r="718" spans="9:14" x14ac:dyDescent="0.15">
      <c r="I718">
        <v>714</v>
      </c>
      <c r="J718" t="s">
        <v>1</v>
      </c>
      <c r="K718" s="1">
        <v>38771</v>
      </c>
      <c r="L718" t="s">
        <v>9</v>
      </c>
      <c r="M718" s="3">
        <v>31</v>
      </c>
      <c r="N718" s="2">
        <v>93.734083542235183</v>
      </c>
    </row>
    <row r="719" spans="9:14" x14ac:dyDescent="0.15">
      <c r="I719">
        <v>715</v>
      </c>
      <c r="J719" t="s">
        <v>0</v>
      </c>
      <c r="K719" s="1">
        <v>38881</v>
      </c>
      <c r="L719" t="s">
        <v>10</v>
      </c>
      <c r="M719" s="3">
        <v>9</v>
      </c>
      <c r="N719" s="2">
        <v>29.386098665239906</v>
      </c>
    </row>
    <row r="720" spans="9:14" x14ac:dyDescent="0.15">
      <c r="I720">
        <v>716</v>
      </c>
      <c r="J720" t="s">
        <v>3</v>
      </c>
      <c r="K720" s="1">
        <v>38408</v>
      </c>
      <c r="L720" t="s">
        <v>11</v>
      </c>
      <c r="M720" s="3">
        <v>24</v>
      </c>
      <c r="N720" s="2">
        <v>73.278886055388639</v>
      </c>
    </row>
    <row r="721" spans="9:14" x14ac:dyDescent="0.15">
      <c r="I721">
        <v>717</v>
      </c>
      <c r="J721" t="s">
        <v>6</v>
      </c>
      <c r="K721" s="1">
        <v>38364</v>
      </c>
      <c r="L721" t="s">
        <v>10</v>
      </c>
      <c r="M721" s="3">
        <v>50</v>
      </c>
      <c r="N721" s="2">
        <v>152.58608557503928</v>
      </c>
    </row>
    <row r="722" spans="9:14" x14ac:dyDescent="0.15">
      <c r="I722">
        <v>718</v>
      </c>
      <c r="J722" t="s">
        <v>0</v>
      </c>
      <c r="K722" s="1">
        <v>38760</v>
      </c>
      <c r="L722" t="s">
        <v>13</v>
      </c>
      <c r="M722" s="3">
        <v>32</v>
      </c>
      <c r="N722" s="2">
        <v>98.191983875169328</v>
      </c>
    </row>
    <row r="723" spans="9:14" x14ac:dyDescent="0.15">
      <c r="I723">
        <v>719</v>
      </c>
      <c r="J723" t="s">
        <v>7</v>
      </c>
      <c r="K723" s="1">
        <v>38243</v>
      </c>
      <c r="L723" t="s">
        <v>9</v>
      </c>
      <c r="M723" s="3">
        <v>71</v>
      </c>
      <c r="N723" s="2">
        <v>214.9278284338051</v>
      </c>
    </row>
    <row r="724" spans="9:14" x14ac:dyDescent="0.15">
      <c r="I724">
        <v>720</v>
      </c>
      <c r="J724" t="s">
        <v>1</v>
      </c>
      <c r="K724" s="1">
        <v>39024</v>
      </c>
      <c r="L724" t="s">
        <v>12</v>
      </c>
      <c r="M724" s="3">
        <v>28</v>
      </c>
      <c r="N724" s="2">
        <v>86.107203598905883</v>
      </c>
    </row>
    <row r="725" spans="9:14" x14ac:dyDescent="0.15">
      <c r="I725">
        <v>721</v>
      </c>
      <c r="J725" t="s">
        <v>6</v>
      </c>
      <c r="K725" s="1">
        <v>39013</v>
      </c>
      <c r="L725" t="s">
        <v>10</v>
      </c>
      <c r="M725" s="3">
        <v>40</v>
      </c>
      <c r="N725" s="2">
        <v>121.83146625489913</v>
      </c>
    </row>
    <row r="726" spans="9:14" x14ac:dyDescent="0.15">
      <c r="I726">
        <v>722</v>
      </c>
      <c r="J726" t="s">
        <v>1</v>
      </c>
      <c r="K726" s="1">
        <v>38001</v>
      </c>
      <c r="L726" t="s">
        <v>11</v>
      </c>
      <c r="M726" s="3">
        <v>75</v>
      </c>
      <c r="N726" s="2">
        <v>226.98711570221042</v>
      </c>
    </row>
    <row r="727" spans="9:14" x14ac:dyDescent="0.15">
      <c r="I727">
        <v>723</v>
      </c>
      <c r="J727" t="s">
        <v>4</v>
      </c>
      <c r="K727" s="1">
        <v>38221</v>
      </c>
      <c r="L727" t="s">
        <v>10</v>
      </c>
      <c r="M727" s="3">
        <v>30</v>
      </c>
      <c r="N727" s="2">
        <v>92.030625673172352</v>
      </c>
    </row>
    <row r="728" spans="9:14" x14ac:dyDescent="0.15">
      <c r="I728">
        <v>724</v>
      </c>
      <c r="J728" t="s">
        <v>0</v>
      </c>
      <c r="K728" s="1">
        <v>38694</v>
      </c>
      <c r="L728" t="s">
        <v>10</v>
      </c>
      <c r="M728" s="3">
        <v>78</v>
      </c>
      <c r="N728" s="2">
        <v>235.89718296494317</v>
      </c>
    </row>
    <row r="729" spans="9:14" x14ac:dyDescent="0.15">
      <c r="I729">
        <v>725</v>
      </c>
      <c r="J729" t="s">
        <v>2</v>
      </c>
      <c r="K729" s="1">
        <v>38573</v>
      </c>
      <c r="L729" t="s">
        <v>12</v>
      </c>
      <c r="M729" s="3">
        <v>15</v>
      </c>
      <c r="N729" s="2">
        <v>47.09802134338382</v>
      </c>
    </row>
    <row r="730" spans="9:14" x14ac:dyDescent="0.15">
      <c r="I730">
        <v>726</v>
      </c>
      <c r="J730" t="s">
        <v>1</v>
      </c>
      <c r="K730" s="1">
        <v>38298</v>
      </c>
      <c r="L730" t="s">
        <v>13</v>
      </c>
      <c r="M730" s="3">
        <v>30</v>
      </c>
      <c r="N730" s="2">
        <v>91.800989942743342</v>
      </c>
    </row>
    <row r="731" spans="9:14" x14ac:dyDescent="0.15">
      <c r="I731">
        <v>727</v>
      </c>
      <c r="J731" t="s">
        <v>4</v>
      </c>
      <c r="K731" s="1">
        <v>38628</v>
      </c>
      <c r="L731" t="s">
        <v>9</v>
      </c>
      <c r="M731" s="3">
        <v>27</v>
      </c>
      <c r="N731" s="2">
        <v>83.564417753264919</v>
      </c>
    </row>
    <row r="732" spans="9:14" x14ac:dyDescent="0.15">
      <c r="I732">
        <v>728</v>
      </c>
      <c r="J732" t="s">
        <v>3</v>
      </c>
      <c r="K732" s="1">
        <v>38881</v>
      </c>
      <c r="L732" t="s">
        <v>10</v>
      </c>
      <c r="M732" s="3">
        <v>95</v>
      </c>
      <c r="N732" s="2">
        <v>286.68421658470419</v>
      </c>
    </row>
    <row r="733" spans="9:14" x14ac:dyDescent="0.15">
      <c r="I733">
        <v>729</v>
      </c>
      <c r="J733" t="s">
        <v>0</v>
      </c>
      <c r="K733" s="1">
        <v>38034</v>
      </c>
      <c r="L733" t="s">
        <v>9</v>
      </c>
      <c r="M733" s="3">
        <v>62</v>
      </c>
      <c r="N733" s="2">
        <v>188.69979320640692</v>
      </c>
    </row>
    <row r="734" spans="9:14" x14ac:dyDescent="0.15">
      <c r="I734">
        <v>730</v>
      </c>
      <c r="J734" t="s">
        <v>1</v>
      </c>
      <c r="K734" s="1">
        <v>38793</v>
      </c>
      <c r="L734" t="s">
        <v>10</v>
      </c>
      <c r="M734" s="3">
        <v>-4</v>
      </c>
      <c r="N734" s="2">
        <v>-10.151413084603679</v>
      </c>
    </row>
    <row r="735" spans="9:14" x14ac:dyDescent="0.15">
      <c r="I735">
        <v>731</v>
      </c>
      <c r="J735" t="s">
        <v>8</v>
      </c>
      <c r="K735" s="1">
        <v>38188</v>
      </c>
      <c r="L735" t="s">
        <v>12</v>
      </c>
      <c r="M735" s="3">
        <v>-3</v>
      </c>
      <c r="N735" s="2">
        <v>-7.2263762915654137</v>
      </c>
    </row>
    <row r="736" spans="9:14" x14ac:dyDescent="0.15">
      <c r="I736">
        <v>732</v>
      </c>
      <c r="J736" t="s">
        <v>3</v>
      </c>
      <c r="K736" s="1">
        <v>38540</v>
      </c>
      <c r="L736" t="s">
        <v>12</v>
      </c>
      <c r="M736" s="3">
        <v>62</v>
      </c>
      <c r="N736" s="2">
        <v>187.71484715081846</v>
      </c>
    </row>
    <row r="737" spans="9:14" x14ac:dyDescent="0.15">
      <c r="I737">
        <v>733</v>
      </c>
      <c r="J737" t="s">
        <v>8</v>
      </c>
      <c r="K737" s="1">
        <v>38210</v>
      </c>
      <c r="L737" t="s">
        <v>13</v>
      </c>
      <c r="M737" s="3">
        <v>92</v>
      </c>
      <c r="N737" s="2">
        <v>277.67657907264578</v>
      </c>
    </row>
    <row r="738" spans="9:14" x14ac:dyDescent="0.15">
      <c r="I738">
        <v>734</v>
      </c>
      <c r="J738" t="s">
        <v>4</v>
      </c>
      <c r="K738" s="1">
        <v>39068</v>
      </c>
      <c r="L738" t="s">
        <v>9</v>
      </c>
      <c r="M738" s="3">
        <v>35</v>
      </c>
      <c r="N738" s="2">
        <v>107.09519938129719</v>
      </c>
    </row>
    <row r="739" spans="9:14" x14ac:dyDescent="0.15">
      <c r="I739">
        <v>735</v>
      </c>
      <c r="J739" t="s">
        <v>8</v>
      </c>
      <c r="K739" s="1">
        <v>38474</v>
      </c>
      <c r="L739" t="s">
        <v>11</v>
      </c>
      <c r="M739" s="3">
        <v>91</v>
      </c>
      <c r="N739" s="2">
        <v>274.96271641831527</v>
      </c>
    </row>
    <row r="740" spans="9:14" x14ac:dyDescent="0.15">
      <c r="I740">
        <v>736</v>
      </c>
      <c r="J740" t="s">
        <v>1</v>
      </c>
      <c r="K740" s="1">
        <v>38177</v>
      </c>
      <c r="L740" t="s">
        <v>12</v>
      </c>
      <c r="M740" s="3">
        <v>21</v>
      </c>
      <c r="N740" s="2">
        <v>64.321884288799509</v>
      </c>
    </row>
    <row r="741" spans="9:14" x14ac:dyDescent="0.15">
      <c r="I741">
        <v>737</v>
      </c>
      <c r="J741" t="s">
        <v>2</v>
      </c>
      <c r="K741" s="1">
        <v>38738</v>
      </c>
      <c r="L741" t="s">
        <v>12</v>
      </c>
      <c r="M741" s="3">
        <v>49</v>
      </c>
      <c r="N741" s="2">
        <v>148.73893149445496</v>
      </c>
    </row>
    <row r="742" spans="9:14" x14ac:dyDescent="0.15">
      <c r="I742">
        <v>738</v>
      </c>
      <c r="J742" t="s">
        <v>4</v>
      </c>
      <c r="K742" s="1">
        <v>38430</v>
      </c>
      <c r="L742" t="s">
        <v>9</v>
      </c>
      <c r="M742" s="3">
        <v>34</v>
      </c>
      <c r="N742" s="2">
        <v>103.34843435833068</v>
      </c>
    </row>
    <row r="743" spans="9:14" x14ac:dyDescent="0.15">
      <c r="I743">
        <v>739</v>
      </c>
      <c r="J743" t="s">
        <v>3</v>
      </c>
      <c r="K743" s="1">
        <v>38375</v>
      </c>
      <c r="L743" t="s">
        <v>10</v>
      </c>
      <c r="M743" s="3">
        <v>56</v>
      </c>
      <c r="N743" s="2">
        <v>170.12124352907122</v>
      </c>
    </row>
    <row r="744" spans="9:14" x14ac:dyDescent="0.15">
      <c r="I744">
        <v>740</v>
      </c>
      <c r="J744" t="s">
        <v>1</v>
      </c>
      <c r="K744" s="1">
        <v>38133</v>
      </c>
      <c r="L744" t="s">
        <v>11</v>
      </c>
      <c r="M744" s="3">
        <v>81</v>
      </c>
      <c r="N744" s="2">
        <v>244.85421438007515</v>
      </c>
    </row>
    <row r="745" spans="9:14" x14ac:dyDescent="0.15">
      <c r="I745">
        <v>741</v>
      </c>
      <c r="J745" t="s">
        <v>8</v>
      </c>
      <c r="K745" s="1">
        <v>38089</v>
      </c>
      <c r="L745" t="s">
        <v>11</v>
      </c>
      <c r="M745" s="3">
        <v>63</v>
      </c>
      <c r="N745" s="2">
        <v>191.24656039127012</v>
      </c>
    </row>
    <row r="746" spans="9:14" x14ac:dyDescent="0.15">
      <c r="I746">
        <v>742</v>
      </c>
      <c r="J746" t="s">
        <v>1</v>
      </c>
      <c r="K746" s="1">
        <v>38474</v>
      </c>
      <c r="L746" t="s">
        <v>9</v>
      </c>
      <c r="M746" s="3">
        <v>-3</v>
      </c>
      <c r="N746" s="2">
        <v>-7.3657850032017285</v>
      </c>
    </row>
    <row r="747" spans="9:14" x14ac:dyDescent="0.15">
      <c r="I747">
        <v>743</v>
      </c>
      <c r="J747" t="s">
        <v>2</v>
      </c>
      <c r="K747" s="1">
        <v>38540</v>
      </c>
      <c r="L747" t="s">
        <v>9</v>
      </c>
      <c r="M747" s="3">
        <v>8</v>
      </c>
      <c r="N747" s="2">
        <v>25.810666689825588</v>
      </c>
    </row>
    <row r="748" spans="9:14" x14ac:dyDescent="0.15">
      <c r="I748">
        <v>744</v>
      </c>
      <c r="J748" t="s">
        <v>0</v>
      </c>
      <c r="K748" s="1">
        <v>38078</v>
      </c>
      <c r="L748" t="s">
        <v>10</v>
      </c>
      <c r="M748" s="3">
        <v>46</v>
      </c>
      <c r="N748" s="2">
        <v>139.61633299698832</v>
      </c>
    </row>
    <row r="749" spans="9:14" x14ac:dyDescent="0.15">
      <c r="I749">
        <v>745</v>
      </c>
      <c r="J749" t="s">
        <v>2</v>
      </c>
      <c r="K749" s="1">
        <v>38397</v>
      </c>
      <c r="L749" t="s">
        <v>10</v>
      </c>
      <c r="M749" s="3">
        <v>3</v>
      </c>
      <c r="N749" s="2">
        <v>10.87686297512148</v>
      </c>
    </row>
    <row r="750" spans="9:14" x14ac:dyDescent="0.15">
      <c r="I750">
        <v>746</v>
      </c>
      <c r="J750" t="s">
        <v>2</v>
      </c>
      <c r="K750" s="1">
        <v>38859</v>
      </c>
      <c r="L750" t="s">
        <v>9</v>
      </c>
      <c r="M750" s="3">
        <v>68</v>
      </c>
      <c r="N750" s="2">
        <v>205.86039765882776</v>
      </c>
    </row>
    <row r="751" spans="9:14" x14ac:dyDescent="0.15">
      <c r="I751">
        <v>747</v>
      </c>
      <c r="J751" t="s">
        <v>8</v>
      </c>
      <c r="K751" s="1">
        <v>38826</v>
      </c>
      <c r="L751" t="s">
        <v>9</v>
      </c>
      <c r="M751" s="3">
        <v>83</v>
      </c>
      <c r="N751" s="2">
        <v>251.06283096017734</v>
      </c>
    </row>
    <row r="752" spans="9:14" x14ac:dyDescent="0.15">
      <c r="I752">
        <v>748</v>
      </c>
      <c r="J752" t="s">
        <v>1</v>
      </c>
      <c r="K752" s="1">
        <v>38397</v>
      </c>
      <c r="L752" t="s">
        <v>11</v>
      </c>
      <c r="M752" s="3">
        <v>51</v>
      </c>
      <c r="N752" s="2">
        <v>155.12341917228474</v>
      </c>
    </row>
    <row r="753" spans="9:14" x14ac:dyDescent="0.15">
      <c r="I753">
        <v>749</v>
      </c>
      <c r="J753" t="s">
        <v>7</v>
      </c>
      <c r="K753" s="1">
        <v>38826</v>
      </c>
      <c r="L753" t="s">
        <v>9</v>
      </c>
      <c r="M753" s="3">
        <v>16</v>
      </c>
      <c r="N753" s="2">
        <v>50.203538747394113</v>
      </c>
    </row>
    <row r="754" spans="9:14" x14ac:dyDescent="0.15">
      <c r="I754">
        <v>750</v>
      </c>
      <c r="J754" t="s">
        <v>7</v>
      </c>
      <c r="K754" s="1">
        <v>38848</v>
      </c>
      <c r="L754" t="s">
        <v>11</v>
      </c>
      <c r="M754" s="3">
        <v>-2</v>
      </c>
      <c r="N754" s="2">
        <v>-3.9135627833735267</v>
      </c>
    </row>
    <row r="755" spans="9:14" x14ac:dyDescent="0.15">
      <c r="I755">
        <v>751</v>
      </c>
      <c r="J755" t="s">
        <v>1</v>
      </c>
      <c r="K755" s="1">
        <v>38320</v>
      </c>
      <c r="L755" t="s">
        <v>10</v>
      </c>
      <c r="M755" s="3">
        <v>6</v>
      </c>
      <c r="N755" s="2">
        <v>20.370424027363761</v>
      </c>
    </row>
    <row r="756" spans="9:14" x14ac:dyDescent="0.15">
      <c r="I756">
        <v>752</v>
      </c>
      <c r="J756" t="s">
        <v>2</v>
      </c>
      <c r="K756" s="1">
        <v>38650</v>
      </c>
      <c r="L756" t="s">
        <v>10</v>
      </c>
      <c r="M756" s="3">
        <v>-5</v>
      </c>
      <c r="N756" s="2">
        <v>-12.571701775011148</v>
      </c>
    </row>
    <row r="757" spans="9:14" x14ac:dyDescent="0.15">
      <c r="I757">
        <v>753</v>
      </c>
      <c r="J757" t="s">
        <v>8</v>
      </c>
      <c r="K757" s="1">
        <v>38738</v>
      </c>
      <c r="L757" t="s">
        <v>11</v>
      </c>
      <c r="M757" s="3">
        <v>42</v>
      </c>
      <c r="N757" s="2">
        <v>127.71123178411425</v>
      </c>
    </row>
    <row r="758" spans="9:14" x14ac:dyDescent="0.15">
      <c r="I758">
        <v>754</v>
      </c>
      <c r="J758" t="s">
        <v>1</v>
      </c>
      <c r="K758" s="1">
        <v>38364</v>
      </c>
      <c r="L758" t="s">
        <v>11</v>
      </c>
      <c r="M758" s="3">
        <v>47</v>
      </c>
      <c r="N758" s="2">
        <v>143.38409457230034</v>
      </c>
    </row>
    <row r="759" spans="9:14" x14ac:dyDescent="0.15">
      <c r="I759">
        <v>755</v>
      </c>
      <c r="J759" t="s">
        <v>3</v>
      </c>
      <c r="K759" s="1">
        <v>38925</v>
      </c>
      <c r="L759" t="s">
        <v>12</v>
      </c>
      <c r="M759" s="3">
        <v>16</v>
      </c>
      <c r="N759" s="2">
        <v>50.193862989445165</v>
      </c>
    </row>
    <row r="760" spans="9:14" x14ac:dyDescent="0.15">
      <c r="I760">
        <v>756</v>
      </c>
      <c r="J760" t="s">
        <v>7</v>
      </c>
      <c r="K760" s="1">
        <v>38122</v>
      </c>
      <c r="L760" t="s">
        <v>10</v>
      </c>
      <c r="M760" s="3">
        <v>11</v>
      </c>
      <c r="N760" s="2">
        <v>35.356196404749518</v>
      </c>
    </row>
    <row r="761" spans="9:14" x14ac:dyDescent="0.15">
      <c r="I761">
        <v>757</v>
      </c>
      <c r="J761" t="s">
        <v>8</v>
      </c>
      <c r="K761" s="1">
        <v>38320</v>
      </c>
      <c r="L761" t="s">
        <v>11</v>
      </c>
      <c r="M761" s="3">
        <v>-10</v>
      </c>
      <c r="N761" s="2">
        <v>-27.896760549483552</v>
      </c>
    </row>
    <row r="762" spans="9:14" x14ac:dyDescent="0.15">
      <c r="I762">
        <v>758</v>
      </c>
      <c r="J762" t="s">
        <v>6</v>
      </c>
      <c r="K762" s="1">
        <v>38056</v>
      </c>
      <c r="L762" t="s">
        <v>11</v>
      </c>
      <c r="M762" s="3">
        <v>21</v>
      </c>
      <c r="N762" s="2">
        <v>65.379195576752196</v>
      </c>
    </row>
    <row r="763" spans="9:14" x14ac:dyDescent="0.15">
      <c r="I763">
        <v>759</v>
      </c>
      <c r="J763" t="s">
        <v>7</v>
      </c>
      <c r="K763" s="1">
        <v>38650</v>
      </c>
      <c r="L763" t="s">
        <v>12</v>
      </c>
      <c r="M763" s="3">
        <v>52</v>
      </c>
      <c r="N763" s="2">
        <v>157.72596503790041</v>
      </c>
    </row>
    <row r="764" spans="9:14" x14ac:dyDescent="0.15">
      <c r="I764">
        <v>760</v>
      </c>
      <c r="J764" t="s">
        <v>1</v>
      </c>
      <c r="K764" s="1">
        <v>38089</v>
      </c>
      <c r="L764" t="s">
        <v>13</v>
      </c>
      <c r="M764" s="3">
        <v>5</v>
      </c>
      <c r="N764" s="2">
        <v>17.005120052550815</v>
      </c>
    </row>
    <row r="765" spans="9:14" x14ac:dyDescent="0.15">
      <c r="I765">
        <v>761</v>
      </c>
      <c r="J765" t="s">
        <v>1</v>
      </c>
      <c r="K765" s="1">
        <v>38562</v>
      </c>
      <c r="L765" t="s">
        <v>11</v>
      </c>
      <c r="M765" s="3">
        <v>52</v>
      </c>
      <c r="N765" s="2">
        <v>158.43447603180036</v>
      </c>
    </row>
    <row r="766" spans="9:14" x14ac:dyDescent="0.15">
      <c r="I766">
        <v>762</v>
      </c>
      <c r="J766" t="s">
        <v>2</v>
      </c>
      <c r="K766" s="1">
        <v>38441</v>
      </c>
      <c r="L766" t="s">
        <v>12</v>
      </c>
      <c r="M766" s="3">
        <v>38</v>
      </c>
      <c r="N766" s="2">
        <v>115.38889596804569</v>
      </c>
    </row>
    <row r="767" spans="9:14" x14ac:dyDescent="0.15">
      <c r="I767">
        <v>763</v>
      </c>
      <c r="J767" t="s">
        <v>5</v>
      </c>
      <c r="K767" s="1">
        <v>38848</v>
      </c>
      <c r="L767" t="s">
        <v>12</v>
      </c>
      <c r="M767" s="3">
        <v>84</v>
      </c>
      <c r="N767" s="2">
        <v>254.2621659223083</v>
      </c>
    </row>
    <row r="768" spans="9:14" x14ac:dyDescent="0.15">
      <c r="I768">
        <v>764</v>
      </c>
      <c r="J768" t="s">
        <v>7</v>
      </c>
      <c r="K768" s="1">
        <v>39057</v>
      </c>
      <c r="L768" t="s">
        <v>13</v>
      </c>
      <c r="M768" s="3">
        <v>18</v>
      </c>
      <c r="N768" s="2">
        <v>55.343428443559006</v>
      </c>
    </row>
    <row r="769" spans="9:14" x14ac:dyDescent="0.15">
      <c r="I769">
        <v>765</v>
      </c>
      <c r="J769" t="s">
        <v>0</v>
      </c>
      <c r="K769" s="1">
        <v>38111</v>
      </c>
      <c r="L769" t="s">
        <v>10</v>
      </c>
      <c r="M769" s="3">
        <v>-6</v>
      </c>
      <c r="N769" s="2">
        <v>-15.742829763147856</v>
      </c>
    </row>
    <row r="770" spans="9:14" x14ac:dyDescent="0.15">
      <c r="I770">
        <v>766</v>
      </c>
      <c r="J770" t="s">
        <v>7</v>
      </c>
      <c r="K770" s="1">
        <v>38078</v>
      </c>
      <c r="L770" t="s">
        <v>10</v>
      </c>
      <c r="M770" s="3">
        <v>5</v>
      </c>
      <c r="N770" s="2">
        <v>16.913541625810112</v>
      </c>
    </row>
    <row r="771" spans="9:14" x14ac:dyDescent="0.15">
      <c r="I771">
        <v>767</v>
      </c>
      <c r="J771" t="s">
        <v>2</v>
      </c>
      <c r="K771" s="1">
        <v>39057</v>
      </c>
      <c r="L771" t="s">
        <v>9</v>
      </c>
      <c r="M771" s="3">
        <v>59</v>
      </c>
      <c r="N771" s="2">
        <v>178.89597357687876</v>
      </c>
    </row>
    <row r="772" spans="9:14" x14ac:dyDescent="0.15">
      <c r="I772">
        <v>768</v>
      </c>
      <c r="J772" t="s">
        <v>2</v>
      </c>
      <c r="K772" s="1">
        <v>38529</v>
      </c>
      <c r="L772" t="s">
        <v>12</v>
      </c>
      <c r="M772" s="3">
        <v>-1</v>
      </c>
      <c r="N772" s="2">
        <v>-1.4317242178607446</v>
      </c>
    </row>
    <row r="773" spans="9:14" x14ac:dyDescent="0.15">
      <c r="I773">
        <v>769</v>
      </c>
      <c r="J773" t="s">
        <v>0</v>
      </c>
      <c r="K773" s="1">
        <v>38375</v>
      </c>
      <c r="L773" t="s">
        <v>13</v>
      </c>
      <c r="M773" s="3">
        <v>12</v>
      </c>
      <c r="N773" s="2">
        <v>37.854496358374917</v>
      </c>
    </row>
    <row r="774" spans="9:14" x14ac:dyDescent="0.15">
      <c r="I774">
        <v>770</v>
      </c>
      <c r="J774" t="s">
        <v>2</v>
      </c>
      <c r="K774" s="1">
        <v>38067</v>
      </c>
      <c r="L774" t="s">
        <v>13</v>
      </c>
      <c r="M774" s="3">
        <v>25</v>
      </c>
      <c r="N774" s="2">
        <v>76.808458339015715</v>
      </c>
    </row>
    <row r="775" spans="9:14" x14ac:dyDescent="0.15">
      <c r="I775">
        <v>771</v>
      </c>
      <c r="J775" t="s">
        <v>1</v>
      </c>
      <c r="K775" s="1">
        <v>38529</v>
      </c>
      <c r="L775" t="s">
        <v>12</v>
      </c>
      <c r="M775" s="3">
        <v>33</v>
      </c>
      <c r="N775" s="2">
        <v>101.42418309364238</v>
      </c>
    </row>
    <row r="776" spans="9:14" x14ac:dyDescent="0.15">
      <c r="I776">
        <v>772</v>
      </c>
      <c r="J776" t="s">
        <v>8</v>
      </c>
      <c r="K776" s="1">
        <v>38045</v>
      </c>
      <c r="L776" t="s">
        <v>12</v>
      </c>
      <c r="M776" s="3">
        <v>12</v>
      </c>
      <c r="N776" s="2">
        <v>37.887038047747772</v>
      </c>
    </row>
    <row r="777" spans="9:14" x14ac:dyDescent="0.15">
      <c r="I777">
        <v>773</v>
      </c>
      <c r="J777" t="s">
        <v>5</v>
      </c>
      <c r="K777" s="1">
        <v>38573</v>
      </c>
      <c r="L777" t="s">
        <v>11</v>
      </c>
      <c r="M777" s="3">
        <v>52</v>
      </c>
      <c r="N777" s="2">
        <v>158.30772051149228</v>
      </c>
    </row>
    <row r="778" spans="9:14" x14ac:dyDescent="0.15">
      <c r="I778">
        <v>774</v>
      </c>
      <c r="J778" t="s">
        <v>0</v>
      </c>
      <c r="K778" s="1">
        <v>38441</v>
      </c>
      <c r="L778" t="s">
        <v>11</v>
      </c>
      <c r="M778" s="3">
        <v>34</v>
      </c>
      <c r="N778" s="2">
        <v>103.62316183025368</v>
      </c>
    </row>
    <row r="779" spans="9:14" x14ac:dyDescent="0.15">
      <c r="I779">
        <v>775</v>
      </c>
      <c r="J779" t="s">
        <v>1</v>
      </c>
      <c r="K779" s="1">
        <v>38562</v>
      </c>
      <c r="L779" t="s">
        <v>9</v>
      </c>
      <c r="M779" s="3">
        <v>66</v>
      </c>
      <c r="N779" s="2">
        <v>200.65880996778469</v>
      </c>
    </row>
    <row r="780" spans="9:14" x14ac:dyDescent="0.15">
      <c r="I780">
        <v>776</v>
      </c>
      <c r="J780" t="s">
        <v>1</v>
      </c>
      <c r="K780" s="1">
        <v>38199</v>
      </c>
      <c r="L780" t="s">
        <v>13</v>
      </c>
      <c r="M780" s="3">
        <v>10</v>
      </c>
      <c r="N780" s="2">
        <v>31.853247271934272</v>
      </c>
    </row>
    <row r="781" spans="9:14" x14ac:dyDescent="0.15">
      <c r="I781">
        <v>777</v>
      </c>
      <c r="J781" t="s">
        <v>7</v>
      </c>
      <c r="K781" s="1">
        <v>38045</v>
      </c>
      <c r="L781" t="s">
        <v>9</v>
      </c>
      <c r="M781" s="3">
        <v>-5</v>
      </c>
      <c r="N781" s="2">
        <v>-12.547627479219663</v>
      </c>
    </row>
    <row r="782" spans="9:14" x14ac:dyDescent="0.15">
      <c r="I782">
        <v>778</v>
      </c>
      <c r="J782" t="s">
        <v>6</v>
      </c>
      <c r="K782" s="1">
        <v>38573</v>
      </c>
      <c r="L782" t="s">
        <v>12</v>
      </c>
      <c r="M782" s="3">
        <v>89</v>
      </c>
      <c r="N782" s="2">
        <v>269.48918997457559</v>
      </c>
    </row>
    <row r="783" spans="9:14" x14ac:dyDescent="0.15">
      <c r="I783">
        <v>779</v>
      </c>
      <c r="J783" t="s">
        <v>7</v>
      </c>
      <c r="K783" s="1">
        <v>38452</v>
      </c>
      <c r="L783" t="s">
        <v>9</v>
      </c>
      <c r="M783" s="3">
        <v>5</v>
      </c>
      <c r="N783" s="2">
        <v>16.818206363269947</v>
      </c>
    </row>
    <row r="784" spans="9:14" x14ac:dyDescent="0.15">
      <c r="I784">
        <v>780</v>
      </c>
      <c r="J784" t="s">
        <v>0</v>
      </c>
      <c r="K784" s="1">
        <v>39002</v>
      </c>
      <c r="L784" t="s">
        <v>12</v>
      </c>
      <c r="M784" s="3">
        <v>48</v>
      </c>
      <c r="N784" s="2">
        <v>145.98516396408215</v>
      </c>
    </row>
    <row r="785" spans="9:14" x14ac:dyDescent="0.15">
      <c r="I785">
        <v>781</v>
      </c>
      <c r="J785" t="s">
        <v>8</v>
      </c>
      <c r="K785" s="1">
        <v>39057</v>
      </c>
      <c r="L785" t="s">
        <v>12</v>
      </c>
      <c r="M785" s="3">
        <v>36</v>
      </c>
      <c r="N785" s="2">
        <v>109.92397437204225</v>
      </c>
    </row>
    <row r="786" spans="9:14" x14ac:dyDescent="0.15">
      <c r="I786">
        <v>782</v>
      </c>
      <c r="J786" t="s">
        <v>1</v>
      </c>
      <c r="K786" s="1">
        <v>39035</v>
      </c>
      <c r="L786" t="s">
        <v>12</v>
      </c>
      <c r="M786" s="3">
        <v>80</v>
      </c>
      <c r="N786" s="2">
        <v>241.99741515278305</v>
      </c>
    </row>
    <row r="787" spans="9:14" x14ac:dyDescent="0.15">
      <c r="I787">
        <v>783</v>
      </c>
      <c r="J787" t="s">
        <v>8</v>
      </c>
      <c r="K787" s="1">
        <v>39046</v>
      </c>
      <c r="L787" t="s">
        <v>10</v>
      </c>
      <c r="M787" s="3">
        <v>64</v>
      </c>
      <c r="N787" s="2">
        <v>193.891081917441</v>
      </c>
    </row>
    <row r="788" spans="9:14" x14ac:dyDescent="0.15">
      <c r="I788">
        <v>784</v>
      </c>
      <c r="J788" t="s">
        <v>8</v>
      </c>
      <c r="K788" s="1">
        <v>38639</v>
      </c>
      <c r="L788" t="s">
        <v>9</v>
      </c>
      <c r="M788" s="3">
        <v>51</v>
      </c>
      <c r="N788" s="2">
        <v>155.49981680350626</v>
      </c>
    </row>
    <row r="789" spans="9:14" x14ac:dyDescent="0.15">
      <c r="I789">
        <v>785</v>
      </c>
      <c r="J789" t="s">
        <v>6</v>
      </c>
      <c r="K789" s="1">
        <v>38452</v>
      </c>
      <c r="L789" t="s">
        <v>11</v>
      </c>
      <c r="M789" s="3">
        <v>92</v>
      </c>
      <c r="N789" s="2">
        <v>278.34020387718806</v>
      </c>
    </row>
    <row r="790" spans="9:14" x14ac:dyDescent="0.15">
      <c r="I790">
        <v>786</v>
      </c>
      <c r="J790" t="s">
        <v>7</v>
      </c>
      <c r="K790" s="1">
        <v>38463</v>
      </c>
      <c r="L790" t="s">
        <v>11</v>
      </c>
      <c r="M790" s="3">
        <v>93</v>
      </c>
      <c r="N790" s="2">
        <v>280.85575758245068</v>
      </c>
    </row>
    <row r="791" spans="9:14" x14ac:dyDescent="0.15">
      <c r="I791">
        <v>787</v>
      </c>
      <c r="J791" t="s">
        <v>0</v>
      </c>
      <c r="K791" s="1">
        <v>38386</v>
      </c>
      <c r="L791" t="s">
        <v>9</v>
      </c>
      <c r="M791" s="3">
        <v>36</v>
      </c>
      <c r="N791" s="2">
        <v>110.48116735303131</v>
      </c>
    </row>
    <row r="792" spans="9:14" x14ac:dyDescent="0.15">
      <c r="I792">
        <v>788</v>
      </c>
      <c r="J792" t="s">
        <v>6</v>
      </c>
      <c r="K792" s="1">
        <v>39002</v>
      </c>
      <c r="L792" t="s">
        <v>10</v>
      </c>
      <c r="M792" s="3">
        <v>-9</v>
      </c>
      <c r="N792" s="2">
        <v>-24.826904970027119</v>
      </c>
    </row>
    <row r="793" spans="9:14" x14ac:dyDescent="0.15">
      <c r="I793">
        <v>789</v>
      </c>
      <c r="J793" t="s">
        <v>0</v>
      </c>
      <c r="K793" s="1">
        <v>38496</v>
      </c>
      <c r="L793" t="s">
        <v>10</v>
      </c>
      <c r="M793" s="3">
        <v>48</v>
      </c>
      <c r="N793" s="2">
        <v>146.23287015814799</v>
      </c>
    </row>
    <row r="794" spans="9:14" x14ac:dyDescent="0.15">
      <c r="I794">
        <v>790</v>
      </c>
      <c r="J794" t="s">
        <v>7</v>
      </c>
      <c r="K794" s="1">
        <v>38672</v>
      </c>
      <c r="L794" t="s">
        <v>11</v>
      </c>
      <c r="M794" s="3">
        <v>11</v>
      </c>
      <c r="N794" s="2">
        <v>34.54792782212121</v>
      </c>
    </row>
    <row r="795" spans="9:14" x14ac:dyDescent="0.15">
      <c r="I795">
        <v>791</v>
      </c>
      <c r="J795" t="s">
        <v>7</v>
      </c>
      <c r="K795" s="1">
        <v>38188</v>
      </c>
      <c r="L795" t="s">
        <v>13</v>
      </c>
      <c r="M795" s="3">
        <v>8</v>
      </c>
      <c r="N795" s="2">
        <v>25.453618816298423</v>
      </c>
    </row>
    <row r="796" spans="9:14" x14ac:dyDescent="0.15">
      <c r="I796">
        <v>792</v>
      </c>
      <c r="J796" t="s">
        <v>2</v>
      </c>
      <c r="K796" s="1">
        <v>38089</v>
      </c>
      <c r="L796" t="s">
        <v>9</v>
      </c>
      <c r="M796" s="3">
        <v>36</v>
      </c>
      <c r="N796" s="2">
        <v>110.09171904672033</v>
      </c>
    </row>
    <row r="797" spans="9:14" x14ac:dyDescent="0.15">
      <c r="I797">
        <v>793</v>
      </c>
      <c r="J797" t="s">
        <v>7</v>
      </c>
      <c r="K797" s="1">
        <v>38661</v>
      </c>
      <c r="L797" t="s">
        <v>12</v>
      </c>
      <c r="M797" s="3">
        <v>93</v>
      </c>
      <c r="N797" s="2">
        <v>280.77976287020761</v>
      </c>
    </row>
    <row r="798" spans="9:14" x14ac:dyDescent="0.15">
      <c r="I798">
        <v>794</v>
      </c>
      <c r="J798" t="s">
        <v>3</v>
      </c>
      <c r="K798" s="1">
        <v>38089</v>
      </c>
      <c r="L798" t="s">
        <v>10</v>
      </c>
      <c r="M798" s="3">
        <v>39</v>
      </c>
      <c r="N798" s="2">
        <v>119.20284079894812</v>
      </c>
    </row>
    <row r="799" spans="9:14" x14ac:dyDescent="0.15">
      <c r="I799">
        <v>795</v>
      </c>
      <c r="J799" t="s">
        <v>3</v>
      </c>
      <c r="K799" s="1">
        <v>38133</v>
      </c>
      <c r="L799" t="s">
        <v>11</v>
      </c>
      <c r="M799" s="3">
        <v>72</v>
      </c>
      <c r="N799" s="2">
        <v>218.07728873022205</v>
      </c>
    </row>
    <row r="800" spans="9:14" x14ac:dyDescent="0.15">
      <c r="I800">
        <v>796</v>
      </c>
      <c r="J800" t="s">
        <v>5</v>
      </c>
      <c r="K800" s="1">
        <v>38782</v>
      </c>
      <c r="L800" t="s">
        <v>10</v>
      </c>
      <c r="M800" s="3">
        <v>3</v>
      </c>
      <c r="N800" s="2">
        <v>10.416176420457935</v>
      </c>
    </row>
    <row r="801" spans="9:14" x14ac:dyDescent="0.15">
      <c r="I801">
        <v>797</v>
      </c>
      <c r="J801" t="s">
        <v>4</v>
      </c>
      <c r="K801" s="1">
        <v>38353</v>
      </c>
      <c r="L801" t="s">
        <v>12</v>
      </c>
      <c r="M801" s="3">
        <v>47</v>
      </c>
      <c r="N801" s="2">
        <v>142.8388636236887</v>
      </c>
    </row>
    <row r="802" spans="9:14" x14ac:dyDescent="0.15">
      <c r="I802">
        <v>798</v>
      </c>
      <c r="J802" t="s">
        <v>1</v>
      </c>
      <c r="K802" s="1">
        <v>39079</v>
      </c>
      <c r="L802" t="s">
        <v>12</v>
      </c>
      <c r="M802" s="3">
        <v>72</v>
      </c>
      <c r="N802" s="2">
        <v>217.32445132799407</v>
      </c>
    </row>
    <row r="803" spans="9:14" x14ac:dyDescent="0.15">
      <c r="I803">
        <v>799</v>
      </c>
      <c r="J803" t="s">
        <v>2</v>
      </c>
      <c r="K803" s="1">
        <v>39057</v>
      </c>
      <c r="L803" t="s">
        <v>12</v>
      </c>
      <c r="M803" s="3">
        <v>26</v>
      </c>
      <c r="N803" s="2">
        <v>79.748589199087291</v>
      </c>
    </row>
    <row r="804" spans="9:14" x14ac:dyDescent="0.15">
      <c r="I804">
        <v>800</v>
      </c>
      <c r="J804" t="s">
        <v>4</v>
      </c>
      <c r="K804" s="1">
        <v>38265</v>
      </c>
      <c r="L804" t="s">
        <v>11</v>
      </c>
      <c r="M804" s="3">
        <v>47</v>
      </c>
      <c r="N804" s="2">
        <v>142.48755479367787</v>
      </c>
    </row>
    <row r="805" spans="9:14" x14ac:dyDescent="0.15">
      <c r="I805">
        <v>801</v>
      </c>
      <c r="J805" t="s">
        <v>1</v>
      </c>
      <c r="K805" s="1">
        <v>38727</v>
      </c>
      <c r="L805" t="s">
        <v>10</v>
      </c>
      <c r="M805" s="3">
        <v>14</v>
      </c>
      <c r="N805" s="2">
        <v>43.403824731122626</v>
      </c>
    </row>
    <row r="806" spans="9:14" x14ac:dyDescent="0.15">
      <c r="I806">
        <v>802</v>
      </c>
      <c r="J806" t="s">
        <v>4</v>
      </c>
      <c r="K806" s="1">
        <v>38529</v>
      </c>
      <c r="L806" t="s">
        <v>12</v>
      </c>
      <c r="M806" s="3">
        <v>71</v>
      </c>
      <c r="N806" s="2">
        <v>215.07582310104507</v>
      </c>
    </row>
    <row r="807" spans="9:14" x14ac:dyDescent="0.15">
      <c r="I807">
        <v>803</v>
      </c>
      <c r="J807" t="s">
        <v>3</v>
      </c>
      <c r="K807" s="1">
        <v>38947</v>
      </c>
      <c r="L807" t="s">
        <v>9</v>
      </c>
      <c r="M807" s="3">
        <v>95</v>
      </c>
      <c r="N807" s="2">
        <v>287.79738255613682</v>
      </c>
    </row>
    <row r="808" spans="9:14" x14ac:dyDescent="0.15">
      <c r="I808">
        <v>804</v>
      </c>
      <c r="J808" t="s">
        <v>7</v>
      </c>
      <c r="K808" s="1">
        <v>38782</v>
      </c>
      <c r="L808" t="s">
        <v>12</v>
      </c>
      <c r="M808" s="3">
        <v>37</v>
      </c>
      <c r="N808" s="2">
        <v>112.77919739726129</v>
      </c>
    </row>
    <row r="809" spans="9:14" x14ac:dyDescent="0.15">
      <c r="I809">
        <v>805</v>
      </c>
      <c r="J809" t="s">
        <v>3</v>
      </c>
      <c r="K809" s="1">
        <v>38694</v>
      </c>
      <c r="L809" t="s">
        <v>10</v>
      </c>
      <c r="M809" s="3">
        <v>-1</v>
      </c>
      <c r="N809" s="2">
        <v>-0.39117514400995779</v>
      </c>
    </row>
    <row r="810" spans="9:14" x14ac:dyDescent="0.15">
      <c r="I810">
        <v>806</v>
      </c>
      <c r="J810" t="s">
        <v>5</v>
      </c>
      <c r="K810" s="1">
        <v>38947</v>
      </c>
      <c r="L810" t="s">
        <v>11</v>
      </c>
      <c r="M810" s="3">
        <v>26</v>
      </c>
      <c r="N810" s="2">
        <v>80.208589830999188</v>
      </c>
    </row>
    <row r="811" spans="9:14" x14ac:dyDescent="0.15">
      <c r="I811">
        <v>807</v>
      </c>
      <c r="J811" t="s">
        <v>4</v>
      </c>
      <c r="K811" s="1">
        <v>37990</v>
      </c>
      <c r="L811" t="s">
        <v>11</v>
      </c>
      <c r="M811" s="3">
        <v>67</v>
      </c>
      <c r="N811" s="2">
        <v>203.54299038710067</v>
      </c>
    </row>
    <row r="812" spans="9:14" x14ac:dyDescent="0.15">
      <c r="I812">
        <v>808</v>
      </c>
      <c r="J812" t="s">
        <v>5</v>
      </c>
      <c r="K812" s="1">
        <v>38034</v>
      </c>
      <c r="L812" t="s">
        <v>10</v>
      </c>
      <c r="M812" s="3">
        <v>15</v>
      </c>
      <c r="N812" s="2">
        <v>47.198351483731813</v>
      </c>
    </row>
    <row r="813" spans="9:14" x14ac:dyDescent="0.15">
      <c r="I813">
        <v>809</v>
      </c>
      <c r="J813" t="s">
        <v>0</v>
      </c>
      <c r="K813" s="1">
        <v>38771</v>
      </c>
      <c r="L813" t="s">
        <v>10</v>
      </c>
      <c r="M813" s="3">
        <v>73</v>
      </c>
      <c r="N813" s="2">
        <v>221.33612349849449</v>
      </c>
    </row>
    <row r="814" spans="9:14" x14ac:dyDescent="0.15">
      <c r="I814">
        <v>810</v>
      </c>
      <c r="J814" t="s">
        <v>0</v>
      </c>
      <c r="K814" s="1">
        <v>38265</v>
      </c>
      <c r="L814" t="s">
        <v>12</v>
      </c>
      <c r="M814" s="3">
        <v>13</v>
      </c>
      <c r="N814" s="2">
        <v>40.899875452377259</v>
      </c>
    </row>
    <row r="815" spans="9:14" x14ac:dyDescent="0.15">
      <c r="I815">
        <v>811</v>
      </c>
      <c r="J815" t="s">
        <v>5</v>
      </c>
      <c r="K815" s="1">
        <v>38067</v>
      </c>
      <c r="L815" t="s">
        <v>9</v>
      </c>
      <c r="M815" s="3">
        <v>76</v>
      </c>
      <c r="N815" s="2">
        <v>229.55812152109252</v>
      </c>
    </row>
    <row r="816" spans="9:14" x14ac:dyDescent="0.15">
      <c r="I816">
        <v>812</v>
      </c>
      <c r="J816" t="s">
        <v>7</v>
      </c>
      <c r="K816" s="1">
        <v>38144</v>
      </c>
      <c r="L816" t="s">
        <v>11</v>
      </c>
      <c r="M816" s="3">
        <v>-9</v>
      </c>
      <c r="N816" s="2">
        <v>-24.933082918901754</v>
      </c>
    </row>
    <row r="817" spans="9:14" x14ac:dyDescent="0.15">
      <c r="I817">
        <v>813</v>
      </c>
      <c r="J817" t="s">
        <v>2</v>
      </c>
      <c r="K817" s="1">
        <v>38507</v>
      </c>
      <c r="L817" t="s">
        <v>13</v>
      </c>
      <c r="M817" s="3">
        <v>36</v>
      </c>
      <c r="N817" s="2">
        <v>109.53328220052806</v>
      </c>
    </row>
    <row r="818" spans="9:14" x14ac:dyDescent="0.15">
      <c r="I818">
        <v>814</v>
      </c>
      <c r="J818" t="s">
        <v>6</v>
      </c>
      <c r="K818" s="1">
        <v>38133</v>
      </c>
      <c r="L818" t="s">
        <v>9</v>
      </c>
      <c r="M818" s="3">
        <v>11</v>
      </c>
      <c r="N818" s="2">
        <v>35.52180509936634</v>
      </c>
    </row>
    <row r="819" spans="9:14" x14ac:dyDescent="0.15">
      <c r="I819">
        <v>815</v>
      </c>
      <c r="J819" t="s">
        <v>2</v>
      </c>
      <c r="K819" s="1">
        <v>38738</v>
      </c>
      <c r="L819" t="s">
        <v>10</v>
      </c>
      <c r="M819" s="3">
        <v>73</v>
      </c>
      <c r="N819" s="2">
        <v>220.50049794203733</v>
      </c>
    </row>
    <row r="820" spans="9:14" x14ac:dyDescent="0.15">
      <c r="I820">
        <v>816</v>
      </c>
      <c r="J820" t="s">
        <v>0</v>
      </c>
      <c r="K820" s="1">
        <v>38276</v>
      </c>
      <c r="L820" t="s">
        <v>13</v>
      </c>
      <c r="M820" s="3">
        <v>93</v>
      </c>
      <c r="N820" s="2">
        <v>280.26544889145606</v>
      </c>
    </row>
    <row r="821" spans="9:14" x14ac:dyDescent="0.15">
      <c r="I821">
        <v>817</v>
      </c>
      <c r="J821" t="s">
        <v>8</v>
      </c>
      <c r="K821" s="1">
        <v>38815</v>
      </c>
      <c r="L821" t="s">
        <v>9</v>
      </c>
      <c r="M821" s="3">
        <v>69</v>
      </c>
      <c r="N821" s="2">
        <v>209.31670948874884</v>
      </c>
    </row>
    <row r="822" spans="9:14" x14ac:dyDescent="0.15">
      <c r="I822">
        <v>818</v>
      </c>
      <c r="J822" t="s">
        <v>3</v>
      </c>
      <c r="K822" s="1">
        <v>38089</v>
      </c>
      <c r="L822" t="s">
        <v>11</v>
      </c>
      <c r="M822" s="3">
        <v>86</v>
      </c>
      <c r="N822" s="2">
        <v>259.4849368720744</v>
      </c>
    </row>
    <row r="823" spans="9:14" x14ac:dyDescent="0.15">
      <c r="I823">
        <v>819</v>
      </c>
      <c r="J823" t="s">
        <v>8</v>
      </c>
      <c r="K823" s="1">
        <v>38870</v>
      </c>
      <c r="L823" t="s">
        <v>12</v>
      </c>
      <c r="M823" s="3">
        <v>54</v>
      </c>
      <c r="N823" s="2">
        <v>164.37938973773885</v>
      </c>
    </row>
    <row r="824" spans="9:14" x14ac:dyDescent="0.15">
      <c r="I824">
        <v>820</v>
      </c>
      <c r="J824" t="s">
        <v>1</v>
      </c>
      <c r="K824" s="1">
        <v>38463</v>
      </c>
      <c r="L824" t="s">
        <v>12</v>
      </c>
      <c r="M824" s="3">
        <v>-2</v>
      </c>
      <c r="N824" s="2">
        <v>-4.040363555098244</v>
      </c>
    </row>
    <row r="825" spans="9:14" x14ac:dyDescent="0.15">
      <c r="I825">
        <v>821</v>
      </c>
      <c r="J825" t="s">
        <v>4</v>
      </c>
      <c r="K825" s="1">
        <v>38980</v>
      </c>
      <c r="L825" t="s">
        <v>9</v>
      </c>
      <c r="M825" s="3">
        <v>83</v>
      </c>
      <c r="N825" s="2">
        <v>250.16533632828239</v>
      </c>
    </row>
    <row r="826" spans="9:14" x14ac:dyDescent="0.15">
      <c r="I826">
        <v>822</v>
      </c>
      <c r="J826" t="s">
        <v>7</v>
      </c>
      <c r="K826" s="1">
        <v>38639</v>
      </c>
      <c r="L826" t="s">
        <v>12</v>
      </c>
      <c r="M826" s="3">
        <v>2</v>
      </c>
      <c r="N826" s="2">
        <v>8.0012184182764319</v>
      </c>
    </row>
    <row r="827" spans="9:14" x14ac:dyDescent="0.15">
      <c r="I827">
        <v>823</v>
      </c>
      <c r="J827" t="s">
        <v>2</v>
      </c>
      <c r="K827" s="1">
        <v>38947</v>
      </c>
      <c r="L827" t="s">
        <v>11</v>
      </c>
      <c r="M827" s="3">
        <v>54</v>
      </c>
      <c r="N827" s="2">
        <v>164.14962862314266</v>
      </c>
    </row>
    <row r="828" spans="9:14" x14ac:dyDescent="0.15">
      <c r="I828">
        <v>824</v>
      </c>
      <c r="J828" t="s">
        <v>3</v>
      </c>
      <c r="K828" s="1">
        <v>38078</v>
      </c>
      <c r="L828" t="s">
        <v>9</v>
      </c>
      <c r="M828" s="3">
        <v>76</v>
      </c>
      <c r="N828" s="2">
        <v>230.41943809745561</v>
      </c>
    </row>
    <row r="829" spans="9:14" x14ac:dyDescent="0.15">
      <c r="I829">
        <v>825</v>
      </c>
      <c r="J829" t="s">
        <v>8</v>
      </c>
      <c r="K829" s="1">
        <v>38595</v>
      </c>
      <c r="L829" t="s">
        <v>11</v>
      </c>
      <c r="M829" s="3">
        <v>10</v>
      </c>
      <c r="N829" s="2">
        <v>32.250567590543547</v>
      </c>
    </row>
    <row r="830" spans="9:14" x14ac:dyDescent="0.15">
      <c r="I830">
        <v>826</v>
      </c>
      <c r="J830" t="s">
        <v>0</v>
      </c>
      <c r="K830" s="1">
        <v>39002</v>
      </c>
      <c r="L830" t="s">
        <v>9</v>
      </c>
      <c r="M830" s="3">
        <v>81</v>
      </c>
      <c r="N830" s="2">
        <v>245.03936147229382</v>
      </c>
    </row>
    <row r="831" spans="9:14" x14ac:dyDescent="0.15">
      <c r="I831">
        <v>827</v>
      </c>
      <c r="J831" t="s">
        <v>0</v>
      </c>
      <c r="K831" s="1">
        <v>38980</v>
      </c>
      <c r="L831" t="s">
        <v>11</v>
      </c>
      <c r="M831" s="3">
        <v>83</v>
      </c>
      <c r="N831" s="2">
        <v>251.14060708825255</v>
      </c>
    </row>
    <row r="832" spans="9:14" x14ac:dyDescent="0.15">
      <c r="I832">
        <v>828</v>
      </c>
      <c r="J832" t="s">
        <v>4</v>
      </c>
      <c r="K832" s="1">
        <v>39024</v>
      </c>
      <c r="L832" t="s">
        <v>9</v>
      </c>
      <c r="M832" s="3">
        <v>6</v>
      </c>
      <c r="N832" s="2">
        <v>19.522370228620925</v>
      </c>
    </row>
    <row r="833" spans="9:14" x14ac:dyDescent="0.15">
      <c r="I833">
        <v>829</v>
      </c>
      <c r="J833" t="s">
        <v>2</v>
      </c>
      <c r="K833" s="1">
        <v>39035</v>
      </c>
      <c r="L833" t="s">
        <v>12</v>
      </c>
      <c r="M833" s="3">
        <v>77</v>
      </c>
      <c r="N833" s="2">
        <v>233.15631874033514</v>
      </c>
    </row>
    <row r="834" spans="9:14" x14ac:dyDescent="0.15">
      <c r="I834">
        <v>830</v>
      </c>
      <c r="J834" t="s">
        <v>0</v>
      </c>
      <c r="K834" s="1">
        <v>38804</v>
      </c>
      <c r="L834" t="s">
        <v>12</v>
      </c>
      <c r="M834" s="3">
        <v>41</v>
      </c>
      <c r="N834" s="2">
        <v>125.28397193085664</v>
      </c>
    </row>
    <row r="835" spans="9:14" x14ac:dyDescent="0.15">
      <c r="I835">
        <v>831</v>
      </c>
      <c r="J835" t="s">
        <v>6</v>
      </c>
      <c r="K835" s="1">
        <v>39057</v>
      </c>
      <c r="L835" t="s">
        <v>10</v>
      </c>
      <c r="M835" s="3">
        <v>80</v>
      </c>
      <c r="N835" s="2">
        <v>241.70735878482179</v>
      </c>
    </row>
    <row r="836" spans="9:14" x14ac:dyDescent="0.15">
      <c r="I836">
        <v>832</v>
      </c>
      <c r="J836" t="s">
        <v>4</v>
      </c>
      <c r="K836" s="1">
        <v>38859</v>
      </c>
      <c r="L836" t="s">
        <v>11</v>
      </c>
      <c r="M836" s="3">
        <v>20</v>
      </c>
      <c r="N836" s="2">
        <v>62.210097856811508</v>
      </c>
    </row>
    <row r="837" spans="9:14" x14ac:dyDescent="0.15">
      <c r="I837">
        <v>833</v>
      </c>
      <c r="J837" t="s">
        <v>5</v>
      </c>
      <c r="K837" s="1">
        <v>38012</v>
      </c>
      <c r="L837" t="s">
        <v>11</v>
      </c>
      <c r="M837" s="3">
        <v>31</v>
      </c>
      <c r="N837" s="2">
        <v>95.327196648200925</v>
      </c>
    </row>
    <row r="838" spans="9:14" x14ac:dyDescent="0.15">
      <c r="I838">
        <v>834</v>
      </c>
      <c r="J838" t="s">
        <v>3</v>
      </c>
      <c r="K838" s="1">
        <v>38727</v>
      </c>
      <c r="L838" t="s">
        <v>9</v>
      </c>
      <c r="M838" s="3">
        <v>34</v>
      </c>
      <c r="N838" s="2">
        <v>103.89654308960344</v>
      </c>
    </row>
    <row r="839" spans="9:14" x14ac:dyDescent="0.15">
      <c r="I839">
        <v>835</v>
      </c>
      <c r="J839" t="s">
        <v>6</v>
      </c>
      <c r="K839" s="1">
        <v>38595</v>
      </c>
      <c r="L839" t="s">
        <v>9</v>
      </c>
      <c r="M839" s="3">
        <v>2</v>
      </c>
      <c r="N839" s="2">
        <v>8.0342514695562706</v>
      </c>
    </row>
    <row r="840" spans="9:14" x14ac:dyDescent="0.15">
      <c r="I840">
        <v>836</v>
      </c>
      <c r="J840" t="s">
        <v>0</v>
      </c>
      <c r="K840" s="1">
        <v>38760</v>
      </c>
      <c r="L840" t="s">
        <v>9</v>
      </c>
      <c r="M840" s="3">
        <v>17</v>
      </c>
      <c r="N840" s="2">
        <v>53.331838418625381</v>
      </c>
    </row>
    <row r="841" spans="9:14" x14ac:dyDescent="0.15">
      <c r="I841">
        <v>837</v>
      </c>
      <c r="J841" t="s">
        <v>5</v>
      </c>
      <c r="K841" s="1">
        <v>38870</v>
      </c>
      <c r="L841" t="s">
        <v>11</v>
      </c>
      <c r="M841" s="3">
        <v>16</v>
      </c>
      <c r="N841" s="2">
        <v>50.310894482412991</v>
      </c>
    </row>
    <row r="842" spans="9:14" x14ac:dyDescent="0.15">
      <c r="I842">
        <v>838</v>
      </c>
      <c r="J842" t="s">
        <v>1</v>
      </c>
      <c r="K842" s="1">
        <v>38782</v>
      </c>
      <c r="L842" t="s">
        <v>9</v>
      </c>
      <c r="M842" s="3">
        <v>54</v>
      </c>
      <c r="N842" s="2">
        <v>163.70197903495185</v>
      </c>
    </row>
    <row r="843" spans="9:14" x14ac:dyDescent="0.15">
      <c r="I843">
        <v>839</v>
      </c>
      <c r="J843" t="s">
        <v>4</v>
      </c>
      <c r="K843" s="1">
        <v>38034</v>
      </c>
      <c r="L843" t="s">
        <v>10</v>
      </c>
      <c r="M843" s="3">
        <v>-9</v>
      </c>
      <c r="N843" s="2">
        <v>-24.921999927055641</v>
      </c>
    </row>
    <row r="844" spans="9:14" x14ac:dyDescent="0.15">
      <c r="I844">
        <v>840</v>
      </c>
      <c r="J844" t="s">
        <v>4</v>
      </c>
      <c r="K844" s="1">
        <v>38837</v>
      </c>
      <c r="L844" t="s">
        <v>11</v>
      </c>
      <c r="M844" s="3">
        <v>94</v>
      </c>
      <c r="N844" s="2">
        <v>284.53575317756747</v>
      </c>
    </row>
    <row r="845" spans="9:14" x14ac:dyDescent="0.15">
      <c r="I845">
        <v>841</v>
      </c>
      <c r="J845" t="s">
        <v>0</v>
      </c>
      <c r="K845" s="1">
        <v>38232</v>
      </c>
      <c r="L845" t="s">
        <v>9</v>
      </c>
      <c r="M845" s="3">
        <v>-3</v>
      </c>
      <c r="N845" s="2">
        <v>-7.4497114042005954</v>
      </c>
    </row>
    <row r="846" spans="9:14" x14ac:dyDescent="0.15">
      <c r="I846">
        <v>842</v>
      </c>
      <c r="J846" t="s">
        <v>1</v>
      </c>
      <c r="K846" s="1">
        <v>38298</v>
      </c>
      <c r="L846" t="s">
        <v>12</v>
      </c>
      <c r="M846" s="3">
        <v>9</v>
      </c>
      <c r="N846" s="2">
        <v>28.830809944248564</v>
      </c>
    </row>
    <row r="847" spans="9:14" x14ac:dyDescent="0.15">
      <c r="I847">
        <v>843</v>
      </c>
      <c r="J847" t="s">
        <v>3</v>
      </c>
      <c r="K847" s="1">
        <v>38067</v>
      </c>
      <c r="L847" t="s">
        <v>9</v>
      </c>
      <c r="M847" s="3">
        <v>25</v>
      </c>
      <c r="N847" s="2">
        <v>77.108203405128648</v>
      </c>
    </row>
    <row r="848" spans="9:14" x14ac:dyDescent="0.15">
      <c r="I848">
        <v>844</v>
      </c>
      <c r="J848" t="s">
        <v>6</v>
      </c>
      <c r="K848" s="1">
        <v>39013</v>
      </c>
      <c r="L848" t="s">
        <v>10</v>
      </c>
      <c r="M848" s="3">
        <v>29</v>
      </c>
      <c r="N848" s="2">
        <v>89.310545900397301</v>
      </c>
    </row>
    <row r="849" spans="9:14" x14ac:dyDescent="0.15">
      <c r="I849">
        <v>845</v>
      </c>
      <c r="J849" t="s">
        <v>7</v>
      </c>
      <c r="K849" s="1">
        <v>38221</v>
      </c>
      <c r="L849" t="s">
        <v>11</v>
      </c>
      <c r="M849" s="3">
        <v>37</v>
      </c>
      <c r="N849" s="2">
        <v>113.21323460768004</v>
      </c>
    </row>
    <row r="850" spans="9:14" x14ac:dyDescent="0.15">
      <c r="I850">
        <v>846</v>
      </c>
      <c r="J850" t="s">
        <v>4</v>
      </c>
      <c r="K850" s="1">
        <v>38529</v>
      </c>
      <c r="L850" t="s">
        <v>9</v>
      </c>
      <c r="M850" s="3">
        <v>19</v>
      </c>
      <c r="N850" s="2">
        <v>59.003760475925063</v>
      </c>
    </row>
    <row r="851" spans="9:14" x14ac:dyDescent="0.15">
      <c r="I851">
        <v>847</v>
      </c>
      <c r="J851" t="s">
        <v>1</v>
      </c>
      <c r="K851" s="1">
        <v>38089</v>
      </c>
      <c r="L851" t="s">
        <v>10</v>
      </c>
      <c r="M851" s="3">
        <v>28</v>
      </c>
      <c r="N851" s="2">
        <v>86.04518510559123</v>
      </c>
    </row>
    <row r="852" spans="9:14" x14ac:dyDescent="0.15">
      <c r="I852">
        <v>848</v>
      </c>
      <c r="J852" t="s">
        <v>0</v>
      </c>
      <c r="K852" s="1">
        <v>38144</v>
      </c>
      <c r="L852" t="s">
        <v>11</v>
      </c>
      <c r="M852" s="3">
        <v>18</v>
      </c>
      <c r="N852" s="2">
        <v>55.858549479616173</v>
      </c>
    </row>
    <row r="853" spans="9:14" x14ac:dyDescent="0.15">
      <c r="I853">
        <v>849</v>
      </c>
      <c r="J853" t="s">
        <v>6</v>
      </c>
      <c r="K853" s="1">
        <v>38870</v>
      </c>
      <c r="L853" t="s">
        <v>13</v>
      </c>
      <c r="M853" s="3">
        <v>84</v>
      </c>
      <c r="N853" s="2">
        <v>254.04302513210774</v>
      </c>
    </row>
    <row r="854" spans="9:14" x14ac:dyDescent="0.15">
      <c r="I854">
        <v>850</v>
      </c>
      <c r="J854" t="s">
        <v>5</v>
      </c>
      <c r="K854" s="1">
        <v>38276</v>
      </c>
      <c r="L854" t="s">
        <v>9</v>
      </c>
      <c r="M854" s="3">
        <v>79</v>
      </c>
      <c r="N854" s="2">
        <v>238.82743961542425</v>
      </c>
    </row>
    <row r="855" spans="9:14" x14ac:dyDescent="0.15">
      <c r="I855">
        <v>851</v>
      </c>
      <c r="J855" t="s">
        <v>7</v>
      </c>
      <c r="K855" s="1">
        <v>38298</v>
      </c>
      <c r="L855" t="s">
        <v>9</v>
      </c>
      <c r="M855" s="3">
        <v>31</v>
      </c>
      <c r="N855" s="2">
        <v>94.972961203791044</v>
      </c>
    </row>
    <row r="856" spans="9:14" x14ac:dyDescent="0.15">
      <c r="I856">
        <v>852</v>
      </c>
      <c r="J856" t="s">
        <v>0</v>
      </c>
      <c r="K856" s="1">
        <v>38925</v>
      </c>
      <c r="L856" t="s">
        <v>13</v>
      </c>
      <c r="M856" s="3">
        <v>34</v>
      </c>
      <c r="N856" s="2">
        <v>103.39863614232333</v>
      </c>
    </row>
    <row r="857" spans="9:14" x14ac:dyDescent="0.15">
      <c r="I857">
        <v>853</v>
      </c>
      <c r="J857" t="s">
        <v>7</v>
      </c>
      <c r="K857" s="1">
        <v>38672</v>
      </c>
      <c r="L857" t="s">
        <v>12</v>
      </c>
      <c r="M857" s="3">
        <v>66</v>
      </c>
      <c r="N857" s="2">
        <v>201.25536797949457</v>
      </c>
    </row>
    <row r="858" spans="9:14" x14ac:dyDescent="0.15">
      <c r="I858">
        <v>854</v>
      </c>
      <c r="J858" t="s">
        <v>5</v>
      </c>
      <c r="K858" s="1">
        <v>38859</v>
      </c>
      <c r="L858" t="s">
        <v>12</v>
      </c>
      <c r="M858" s="3">
        <v>44</v>
      </c>
      <c r="N858" s="2">
        <v>134.44985862590835</v>
      </c>
    </row>
    <row r="859" spans="9:14" x14ac:dyDescent="0.15">
      <c r="I859">
        <v>855</v>
      </c>
      <c r="J859" t="s">
        <v>8</v>
      </c>
      <c r="K859" s="1">
        <v>38375</v>
      </c>
      <c r="L859" t="s">
        <v>11</v>
      </c>
      <c r="M859" s="3">
        <v>94</v>
      </c>
      <c r="N859" s="2">
        <v>284.41944495958916</v>
      </c>
    </row>
    <row r="860" spans="9:14" x14ac:dyDescent="0.15">
      <c r="I860">
        <v>856</v>
      </c>
      <c r="J860" t="s">
        <v>2</v>
      </c>
      <c r="K860" s="1">
        <v>38089</v>
      </c>
      <c r="L860" t="s">
        <v>9</v>
      </c>
      <c r="M860" s="3">
        <v>11</v>
      </c>
      <c r="N860" s="2">
        <v>35.299860689817372</v>
      </c>
    </row>
    <row r="861" spans="9:14" x14ac:dyDescent="0.15">
      <c r="I861">
        <v>857</v>
      </c>
      <c r="J861" t="s">
        <v>3</v>
      </c>
      <c r="K861" s="1">
        <v>38221</v>
      </c>
      <c r="L861" t="s">
        <v>10</v>
      </c>
      <c r="M861" s="3">
        <v>74</v>
      </c>
      <c r="N861" s="2">
        <v>223.97457991298864</v>
      </c>
    </row>
    <row r="862" spans="9:14" x14ac:dyDescent="0.15">
      <c r="I862">
        <v>858</v>
      </c>
      <c r="J862" t="s">
        <v>0</v>
      </c>
      <c r="K862" s="1">
        <v>39057</v>
      </c>
      <c r="L862" t="s">
        <v>12</v>
      </c>
      <c r="M862" s="3">
        <v>28</v>
      </c>
      <c r="N862" s="2">
        <v>86.485564911199845</v>
      </c>
    </row>
    <row r="863" spans="9:14" x14ac:dyDescent="0.15">
      <c r="I863">
        <v>859</v>
      </c>
      <c r="J863" t="s">
        <v>1</v>
      </c>
      <c r="K863" s="1">
        <v>38507</v>
      </c>
      <c r="L863" t="s">
        <v>10</v>
      </c>
      <c r="M863" s="3">
        <v>40</v>
      </c>
      <c r="N863" s="2">
        <v>121.92180749554807</v>
      </c>
    </row>
    <row r="864" spans="9:14" x14ac:dyDescent="0.15">
      <c r="I864">
        <v>860</v>
      </c>
      <c r="J864" t="s">
        <v>1</v>
      </c>
      <c r="K864" s="1">
        <v>38023</v>
      </c>
      <c r="L864" t="s">
        <v>10</v>
      </c>
      <c r="M864" s="3">
        <v>34</v>
      </c>
      <c r="N864" s="2">
        <v>104.1689153871453</v>
      </c>
    </row>
    <row r="865" spans="9:14" x14ac:dyDescent="0.15">
      <c r="I865">
        <v>861</v>
      </c>
      <c r="J865" t="s">
        <v>8</v>
      </c>
      <c r="K865" s="1">
        <v>38606</v>
      </c>
      <c r="L865" t="s">
        <v>11</v>
      </c>
      <c r="M865" s="3">
        <v>38</v>
      </c>
      <c r="N865" s="2">
        <v>115.85180148886141</v>
      </c>
    </row>
    <row r="866" spans="9:14" x14ac:dyDescent="0.15">
      <c r="I866">
        <v>862</v>
      </c>
      <c r="J866" t="s">
        <v>3</v>
      </c>
      <c r="K866" s="1">
        <v>38518</v>
      </c>
      <c r="L866" t="s">
        <v>12</v>
      </c>
      <c r="M866" s="3">
        <v>69</v>
      </c>
      <c r="N866" s="2">
        <v>209.14336391515394</v>
      </c>
    </row>
    <row r="867" spans="9:14" x14ac:dyDescent="0.15">
      <c r="I867">
        <v>863</v>
      </c>
      <c r="J867" t="s">
        <v>6</v>
      </c>
      <c r="K867" s="1">
        <v>38584</v>
      </c>
      <c r="L867" t="s">
        <v>11</v>
      </c>
      <c r="M867" s="3">
        <v>34</v>
      </c>
      <c r="N867" s="2">
        <v>103.97058317140277</v>
      </c>
    </row>
    <row r="868" spans="9:14" x14ac:dyDescent="0.15">
      <c r="I868">
        <v>864</v>
      </c>
      <c r="J868" t="s">
        <v>8</v>
      </c>
      <c r="K868" s="1">
        <v>38573</v>
      </c>
      <c r="L868" t="s">
        <v>12</v>
      </c>
      <c r="M868" s="3">
        <v>29</v>
      </c>
      <c r="N868" s="2">
        <v>89.383943739445868</v>
      </c>
    </row>
    <row r="869" spans="9:14" x14ac:dyDescent="0.15">
      <c r="I869">
        <v>865</v>
      </c>
      <c r="J869" t="s">
        <v>2</v>
      </c>
      <c r="K869" s="1">
        <v>38034</v>
      </c>
      <c r="L869" t="s">
        <v>9</v>
      </c>
      <c r="M869" s="3">
        <v>-10</v>
      </c>
      <c r="N869" s="2">
        <v>-27.724939048319342</v>
      </c>
    </row>
    <row r="870" spans="9:14" x14ac:dyDescent="0.15">
      <c r="I870">
        <v>866</v>
      </c>
      <c r="J870" t="s">
        <v>7</v>
      </c>
      <c r="K870" s="1">
        <v>38287</v>
      </c>
      <c r="L870" t="s">
        <v>13</v>
      </c>
      <c r="M870" s="3">
        <v>42</v>
      </c>
      <c r="N870" s="2">
        <v>128.42870398782102</v>
      </c>
    </row>
    <row r="871" spans="9:14" x14ac:dyDescent="0.15">
      <c r="I871">
        <v>867</v>
      </c>
      <c r="J871" t="s">
        <v>4</v>
      </c>
      <c r="K871" s="1">
        <v>38793</v>
      </c>
      <c r="L871" t="s">
        <v>12</v>
      </c>
      <c r="M871" s="3">
        <v>58</v>
      </c>
      <c r="N871" s="2">
        <v>175.97423505292562</v>
      </c>
    </row>
    <row r="872" spans="9:14" x14ac:dyDescent="0.15">
      <c r="I872">
        <v>868</v>
      </c>
      <c r="J872" t="s">
        <v>5</v>
      </c>
      <c r="K872" s="1">
        <v>38056</v>
      </c>
      <c r="L872" t="s">
        <v>9</v>
      </c>
      <c r="M872" s="3">
        <v>27</v>
      </c>
      <c r="N872" s="2">
        <v>83.01665013993393</v>
      </c>
    </row>
    <row r="873" spans="9:14" x14ac:dyDescent="0.15">
      <c r="I873">
        <v>869</v>
      </c>
      <c r="J873" t="s">
        <v>7</v>
      </c>
      <c r="K873" s="1">
        <v>38903</v>
      </c>
      <c r="L873" t="s">
        <v>11</v>
      </c>
      <c r="M873" s="3">
        <v>47</v>
      </c>
      <c r="N873" s="2">
        <v>143.2742036645771</v>
      </c>
    </row>
    <row r="874" spans="9:14" x14ac:dyDescent="0.15">
      <c r="I874">
        <v>870</v>
      </c>
      <c r="J874" t="s">
        <v>5</v>
      </c>
      <c r="K874" s="1">
        <v>38023</v>
      </c>
      <c r="L874" t="s">
        <v>9</v>
      </c>
      <c r="M874" s="3">
        <v>29</v>
      </c>
      <c r="N874" s="2">
        <v>88.696716331090727</v>
      </c>
    </row>
    <row r="875" spans="9:14" x14ac:dyDescent="0.15">
      <c r="I875">
        <v>871</v>
      </c>
      <c r="J875" t="s">
        <v>7</v>
      </c>
      <c r="K875" s="1">
        <v>38848</v>
      </c>
      <c r="L875" t="s">
        <v>12</v>
      </c>
      <c r="M875" s="3">
        <v>28</v>
      </c>
      <c r="N875" s="2">
        <v>86.226420950611285</v>
      </c>
    </row>
    <row r="876" spans="9:14" x14ac:dyDescent="0.15">
      <c r="I876">
        <v>872</v>
      </c>
      <c r="J876" t="s">
        <v>8</v>
      </c>
      <c r="K876" s="1">
        <v>38980</v>
      </c>
      <c r="L876" t="s">
        <v>11</v>
      </c>
      <c r="M876" s="3">
        <v>79</v>
      </c>
      <c r="N876" s="2">
        <v>239.05774059830441</v>
      </c>
    </row>
    <row r="877" spans="9:14" x14ac:dyDescent="0.15">
      <c r="I877">
        <v>873</v>
      </c>
      <c r="J877" t="s">
        <v>6</v>
      </c>
      <c r="K877" s="1">
        <v>38298</v>
      </c>
      <c r="L877" t="s">
        <v>11</v>
      </c>
      <c r="M877" s="3">
        <v>41</v>
      </c>
      <c r="N877" s="2">
        <v>124.81786407447923</v>
      </c>
    </row>
    <row r="878" spans="9:14" x14ac:dyDescent="0.15">
      <c r="I878">
        <v>874</v>
      </c>
      <c r="J878" t="s">
        <v>5</v>
      </c>
      <c r="K878" s="1">
        <v>38540</v>
      </c>
      <c r="L878" t="s">
        <v>13</v>
      </c>
      <c r="M878" s="3">
        <v>57</v>
      </c>
      <c r="N878" s="2">
        <v>172.96188521453885</v>
      </c>
    </row>
    <row r="879" spans="9:14" x14ac:dyDescent="0.15">
      <c r="I879">
        <v>875</v>
      </c>
      <c r="J879" t="s">
        <v>7</v>
      </c>
      <c r="K879" s="1">
        <v>38914</v>
      </c>
      <c r="L879" t="s">
        <v>10</v>
      </c>
      <c r="M879" s="3">
        <v>45</v>
      </c>
      <c r="N879" s="2">
        <v>137.62002289021942</v>
      </c>
    </row>
    <row r="880" spans="9:14" x14ac:dyDescent="0.15">
      <c r="I880">
        <v>876</v>
      </c>
      <c r="J880" t="s">
        <v>0</v>
      </c>
      <c r="K880" s="1">
        <v>38793</v>
      </c>
      <c r="L880" t="s">
        <v>12</v>
      </c>
      <c r="M880" s="3">
        <v>91</v>
      </c>
      <c r="N880" s="2">
        <v>274.91230216083113</v>
      </c>
    </row>
    <row r="881" spans="9:14" x14ac:dyDescent="0.15">
      <c r="I881">
        <v>877</v>
      </c>
      <c r="J881" t="s">
        <v>5</v>
      </c>
      <c r="K881" s="1">
        <v>38375</v>
      </c>
      <c r="L881" t="s">
        <v>12</v>
      </c>
      <c r="M881" s="3">
        <v>49</v>
      </c>
      <c r="N881" s="2">
        <v>149.04131306617498</v>
      </c>
    </row>
    <row r="882" spans="9:14" x14ac:dyDescent="0.15">
      <c r="I882">
        <v>878</v>
      </c>
      <c r="J882" t="s">
        <v>8</v>
      </c>
      <c r="K882" s="1">
        <v>38254</v>
      </c>
      <c r="L882" t="s">
        <v>10</v>
      </c>
      <c r="M882" s="3">
        <v>68</v>
      </c>
      <c r="N882" s="2">
        <v>206.16097800045316</v>
      </c>
    </row>
    <row r="883" spans="9:14" x14ac:dyDescent="0.15">
      <c r="I883">
        <v>879</v>
      </c>
      <c r="J883" t="s">
        <v>2</v>
      </c>
      <c r="K883" s="1">
        <v>38397</v>
      </c>
      <c r="L883" t="s">
        <v>13</v>
      </c>
      <c r="M883" s="3">
        <v>38</v>
      </c>
      <c r="N883" s="2">
        <v>116.64480895861564</v>
      </c>
    </row>
    <row r="884" spans="9:14" x14ac:dyDescent="0.15">
      <c r="I884">
        <v>880</v>
      </c>
      <c r="J884" t="s">
        <v>6</v>
      </c>
      <c r="K884" s="1">
        <v>38980</v>
      </c>
      <c r="L884" t="s">
        <v>9</v>
      </c>
      <c r="M884" s="3">
        <v>4</v>
      </c>
      <c r="N884" s="2">
        <v>15.205643253032669</v>
      </c>
    </row>
    <row r="885" spans="9:14" x14ac:dyDescent="0.15">
      <c r="I885">
        <v>881</v>
      </c>
      <c r="J885" t="s">
        <v>5</v>
      </c>
      <c r="K885" s="1">
        <v>38452</v>
      </c>
      <c r="L885" t="s">
        <v>12</v>
      </c>
      <c r="M885" s="3">
        <v>45</v>
      </c>
      <c r="N885" s="2">
        <v>137.05484034063696</v>
      </c>
    </row>
    <row r="886" spans="9:14" x14ac:dyDescent="0.15">
      <c r="I886">
        <v>882</v>
      </c>
      <c r="J886" t="s">
        <v>1</v>
      </c>
      <c r="K886" s="1">
        <v>38331</v>
      </c>
      <c r="L886" t="s">
        <v>12</v>
      </c>
      <c r="M886" s="3">
        <v>85</v>
      </c>
      <c r="N886" s="2">
        <v>256.6581063828105</v>
      </c>
    </row>
    <row r="887" spans="9:14" x14ac:dyDescent="0.15">
      <c r="I887">
        <v>883</v>
      </c>
      <c r="J887" t="s">
        <v>5</v>
      </c>
      <c r="K887" s="1">
        <v>38540</v>
      </c>
      <c r="L887" t="s">
        <v>13</v>
      </c>
      <c r="M887" s="3">
        <v>57</v>
      </c>
      <c r="N887" s="2">
        <v>173.05666995199584</v>
      </c>
    </row>
    <row r="888" spans="9:14" x14ac:dyDescent="0.15">
      <c r="I888">
        <v>884</v>
      </c>
      <c r="J888" t="s">
        <v>4</v>
      </c>
      <c r="K888" s="1">
        <v>38672</v>
      </c>
      <c r="L888" t="s">
        <v>12</v>
      </c>
      <c r="M888" s="3">
        <v>-3</v>
      </c>
      <c r="N888" s="2">
        <v>-6.3637861287644046</v>
      </c>
    </row>
    <row r="889" spans="9:14" x14ac:dyDescent="0.15">
      <c r="I889">
        <v>885</v>
      </c>
      <c r="J889" t="s">
        <v>7</v>
      </c>
      <c r="K889" s="1">
        <v>38936</v>
      </c>
      <c r="L889" t="s">
        <v>9</v>
      </c>
      <c r="M889" s="3">
        <v>-9</v>
      </c>
      <c r="N889" s="2">
        <v>-24.858670230760346</v>
      </c>
    </row>
    <row r="890" spans="9:14" x14ac:dyDescent="0.15">
      <c r="I890">
        <v>886</v>
      </c>
      <c r="J890" t="s">
        <v>4</v>
      </c>
      <c r="K890" s="1">
        <v>38100</v>
      </c>
      <c r="L890" t="s">
        <v>11</v>
      </c>
      <c r="M890" s="3">
        <v>86</v>
      </c>
      <c r="N890" s="2">
        <v>260.29381913398618</v>
      </c>
    </row>
    <row r="891" spans="9:14" x14ac:dyDescent="0.15">
      <c r="I891">
        <v>887</v>
      </c>
      <c r="J891" t="s">
        <v>0</v>
      </c>
      <c r="K891" s="1">
        <v>38419</v>
      </c>
      <c r="L891" t="s">
        <v>9</v>
      </c>
      <c r="M891" s="3">
        <v>11</v>
      </c>
      <c r="N891" s="2">
        <v>35.041684359746164</v>
      </c>
    </row>
    <row r="892" spans="9:14" x14ac:dyDescent="0.15">
      <c r="I892">
        <v>888</v>
      </c>
      <c r="J892" t="s">
        <v>2</v>
      </c>
      <c r="K892" s="1">
        <v>38001</v>
      </c>
      <c r="L892" t="s">
        <v>12</v>
      </c>
      <c r="M892" s="3">
        <v>87</v>
      </c>
      <c r="N892" s="2">
        <v>262.7592489136066</v>
      </c>
    </row>
    <row r="893" spans="9:14" x14ac:dyDescent="0.15">
      <c r="I893">
        <v>889</v>
      </c>
      <c r="J893" t="s">
        <v>2</v>
      </c>
      <c r="K893" s="1">
        <v>38199</v>
      </c>
      <c r="L893" t="s">
        <v>11</v>
      </c>
      <c r="M893" s="3">
        <v>86</v>
      </c>
      <c r="N893" s="2">
        <v>260.00914889996403</v>
      </c>
    </row>
    <row r="894" spans="9:14" x14ac:dyDescent="0.15">
      <c r="I894">
        <v>890</v>
      </c>
      <c r="J894" t="s">
        <v>8</v>
      </c>
      <c r="K894" s="1">
        <v>38749</v>
      </c>
      <c r="L894" t="s">
        <v>10</v>
      </c>
      <c r="M894" s="3">
        <v>62</v>
      </c>
      <c r="N894" s="2">
        <v>187.81034616092504</v>
      </c>
    </row>
    <row r="895" spans="9:14" x14ac:dyDescent="0.15">
      <c r="I895">
        <v>891</v>
      </c>
      <c r="J895" t="s">
        <v>5</v>
      </c>
      <c r="K895" s="1">
        <v>38914</v>
      </c>
      <c r="L895" t="s">
        <v>12</v>
      </c>
      <c r="M895" s="3">
        <v>80</v>
      </c>
      <c r="N895" s="2">
        <v>241.85917425037732</v>
      </c>
    </row>
    <row r="896" spans="9:14" x14ac:dyDescent="0.15">
      <c r="I896">
        <v>892</v>
      </c>
      <c r="J896" t="s">
        <v>2</v>
      </c>
      <c r="K896" s="1">
        <v>38188</v>
      </c>
      <c r="L896" t="s">
        <v>13</v>
      </c>
      <c r="M896" s="3">
        <v>11</v>
      </c>
      <c r="N896" s="2">
        <v>34.782314831792192</v>
      </c>
    </row>
    <row r="897" spans="9:14" x14ac:dyDescent="0.15">
      <c r="I897">
        <v>893</v>
      </c>
      <c r="J897" t="s">
        <v>2</v>
      </c>
      <c r="K897" s="1">
        <v>38694</v>
      </c>
      <c r="L897" t="s">
        <v>13</v>
      </c>
      <c r="M897" s="3">
        <v>11</v>
      </c>
      <c r="N897" s="2">
        <v>34.680822827797087</v>
      </c>
    </row>
    <row r="898" spans="9:14" x14ac:dyDescent="0.15">
      <c r="I898">
        <v>894</v>
      </c>
      <c r="J898" t="s">
        <v>7</v>
      </c>
      <c r="K898" s="1">
        <v>38661</v>
      </c>
      <c r="L898" t="s">
        <v>11</v>
      </c>
      <c r="M898" s="3">
        <v>-4</v>
      </c>
      <c r="N898" s="2">
        <v>-9.7904020756587578</v>
      </c>
    </row>
    <row r="899" spans="9:14" x14ac:dyDescent="0.15">
      <c r="I899">
        <v>895</v>
      </c>
      <c r="J899" t="s">
        <v>1</v>
      </c>
      <c r="K899" s="1">
        <v>38331</v>
      </c>
      <c r="L899" t="s">
        <v>13</v>
      </c>
      <c r="M899" s="3">
        <v>42</v>
      </c>
      <c r="N899" s="2">
        <v>128.02610607664568</v>
      </c>
    </row>
    <row r="900" spans="9:14" x14ac:dyDescent="0.15">
      <c r="I900">
        <v>896</v>
      </c>
      <c r="J900" t="s">
        <v>1</v>
      </c>
      <c r="K900" s="1">
        <v>38166</v>
      </c>
      <c r="L900" t="s">
        <v>10</v>
      </c>
      <c r="M900" s="3">
        <v>51</v>
      </c>
      <c r="N900" s="2">
        <v>154.71800722699501</v>
      </c>
    </row>
    <row r="901" spans="9:14" x14ac:dyDescent="0.15">
      <c r="I901">
        <v>897</v>
      </c>
      <c r="J901" t="s">
        <v>2</v>
      </c>
      <c r="K901" s="1">
        <v>38188</v>
      </c>
      <c r="L901" t="s">
        <v>9</v>
      </c>
      <c r="M901" s="3">
        <v>91</v>
      </c>
      <c r="N901" s="2">
        <v>274.77216405152751</v>
      </c>
    </row>
    <row r="902" spans="9:14" x14ac:dyDescent="0.15">
      <c r="I902">
        <v>898</v>
      </c>
      <c r="J902" t="s">
        <v>5</v>
      </c>
      <c r="K902" s="1">
        <v>38947</v>
      </c>
      <c r="L902" t="s">
        <v>10</v>
      </c>
      <c r="M902" s="3">
        <v>24</v>
      </c>
      <c r="N902" s="2">
        <v>73.406307306618515</v>
      </c>
    </row>
    <row r="903" spans="9:14" x14ac:dyDescent="0.15">
      <c r="I903">
        <v>899</v>
      </c>
      <c r="J903" t="s">
        <v>5</v>
      </c>
      <c r="K903" s="1">
        <v>38012</v>
      </c>
      <c r="L903" t="s">
        <v>11</v>
      </c>
      <c r="M903" s="3">
        <v>19</v>
      </c>
      <c r="N903" s="2">
        <v>59.122730804832166</v>
      </c>
    </row>
    <row r="904" spans="9:14" x14ac:dyDescent="0.15">
      <c r="I904">
        <v>900</v>
      </c>
      <c r="J904" t="s">
        <v>2</v>
      </c>
      <c r="K904" s="1">
        <v>38067</v>
      </c>
      <c r="L904" t="s">
        <v>10</v>
      </c>
      <c r="M904" s="3">
        <v>80</v>
      </c>
      <c r="N904" s="2">
        <v>241.74723336571216</v>
      </c>
    </row>
    <row r="905" spans="9:14" x14ac:dyDescent="0.15">
      <c r="I905">
        <v>901</v>
      </c>
      <c r="J905" t="s">
        <v>8</v>
      </c>
      <c r="K905" s="1">
        <v>39057</v>
      </c>
      <c r="L905" t="s">
        <v>9</v>
      </c>
      <c r="M905" s="3">
        <v>0</v>
      </c>
      <c r="N905" s="2">
        <v>1.6796900586638657</v>
      </c>
    </row>
    <row r="906" spans="9:14" x14ac:dyDescent="0.15">
      <c r="I906">
        <v>902</v>
      </c>
      <c r="J906" t="s">
        <v>0</v>
      </c>
      <c r="K906" s="1">
        <v>38991</v>
      </c>
      <c r="L906" t="s">
        <v>9</v>
      </c>
      <c r="M906" s="3">
        <v>69</v>
      </c>
      <c r="N906" s="2">
        <v>209.14203916980014</v>
      </c>
    </row>
    <row r="907" spans="9:14" x14ac:dyDescent="0.15">
      <c r="I907">
        <v>903</v>
      </c>
      <c r="J907" t="s">
        <v>5</v>
      </c>
      <c r="K907" s="1">
        <v>38914</v>
      </c>
      <c r="L907" t="s">
        <v>12</v>
      </c>
      <c r="M907" s="3">
        <v>84</v>
      </c>
      <c r="N907" s="2">
        <v>253.78421313059829</v>
      </c>
    </row>
    <row r="908" spans="9:14" x14ac:dyDescent="0.15">
      <c r="I908">
        <v>904</v>
      </c>
      <c r="J908" t="s">
        <v>3</v>
      </c>
      <c r="K908" s="1">
        <v>38584</v>
      </c>
      <c r="L908" t="s">
        <v>13</v>
      </c>
      <c r="M908" s="3">
        <v>31</v>
      </c>
      <c r="N908" s="2">
        <v>94.752143463742286</v>
      </c>
    </row>
    <row r="909" spans="9:14" x14ac:dyDescent="0.15">
      <c r="I909">
        <v>905</v>
      </c>
      <c r="J909" t="s">
        <v>4</v>
      </c>
      <c r="K909" s="1">
        <v>38595</v>
      </c>
      <c r="L909" t="s">
        <v>11</v>
      </c>
      <c r="M909" s="3">
        <v>11</v>
      </c>
      <c r="N909" s="2">
        <v>35.274537093655269</v>
      </c>
    </row>
    <row r="910" spans="9:14" x14ac:dyDescent="0.15">
      <c r="I910">
        <v>906</v>
      </c>
      <c r="J910" t="s">
        <v>6</v>
      </c>
      <c r="K910" s="1">
        <v>38441</v>
      </c>
      <c r="L910" t="s">
        <v>10</v>
      </c>
      <c r="M910" s="3">
        <v>79</v>
      </c>
      <c r="N910" s="2">
        <v>239.3445563093955</v>
      </c>
    </row>
    <row r="911" spans="9:14" x14ac:dyDescent="0.15">
      <c r="I911">
        <v>907</v>
      </c>
      <c r="J911" t="s">
        <v>0</v>
      </c>
      <c r="K911" s="1">
        <v>38892</v>
      </c>
      <c r="L911" t="s">
        <v>11</v>
      </c>
      <c r="M911" s="3">
        <v>22</v>
      </c>
      <c r="N911" s="2">
        <v>68.549031242200385</v>
      </c>
    </row>
    <row r="912" spans="9:14" x14ac:dyDescent="0.15">
      <c r="I912">
        <v>908</v>
      </c>
      <c r="J912" t="s">
        <v>8</v>
      </c>
      <c r="K912" s="1">
        <v>38386</v>
      </c>
      <c r="L912" t="s">
        <v>9</v>
      </c>
      <c r="M912" s="3">
        <v>76</v>
      </c>
      <c r="N912" s="2">
        <v>231.1298624050425</v>
      </c>
    </row>
    <row r="913" spans="9:14" x14ac:dyDescent="0.15">
      <c r="I913">
        <v>909</v>
      </c>
      <c r="J913" t="s">
        <v>6</v>
      </c>
      <c r="K913" s="1">
        <v>38265</v>
      </c>
      <c r="L913" t="s">
        <v>11</v>
      </c>
      <c r="M913" s="3">
        <v>0</v>
      </c>
      <c r="N913" s="2">
        <v>2.7444174420335523</v>
      </c>
    </row>
    <row r="914" spans="9:14" x14ac:dyDescent="0.15">
      <c r="I914">
        <v>910</v>
      </c>
      <c r="J914" t="s">
        <v>5</v>
      </c>
      <c r="K914" s="1">
        <v>38430</v>
      </c>
      <c r="L914" t="s">
        <v>10</v>
      </c>
      <c r="M914" s="3">
        <v>94</v>
      </c>
      <c r="N914" s="2">
        <v>283.56226306241973</v>
      </c>
    </row>
    <row r="915" spans="9:14" x14ac:dyDescent="0.15">
      <c r="I915">
        <v>911</v>
      </c>
      <c r="J915" t="s">
        <v>4</v>
      </c>
      <c r="K915" s="1">
        <v>38298</v>
      </c>
      <c r="L915" t="s">
        <v>9</v>
      </c>
      <c r="M915" s="3">
        <v>14</v>
      </c>
      <c r="N915" s="2">
        <v>44.2457022640235</v>
      </c>
    </row>
    <row r="916" spans="9:14" x14ac:dyDescent="0.15">
      <c r="I916">
        <v>912</v>
      </c>
      <c r="J916" t="s">
        <v>5</v>
      </c>
      <c r="K916" s="1">
        <v>38903</v>
      </c>
      <c r="L916" t="s">
        <v>12</v>
      </c>
      <c r="M916" s="3">
        <v>57</v>
      </c>
      <c r="N916" s="2">
        <v>172.69724242963656</v>
      </c>
    </row>
    <row r="917" spans="9:14" x14ac:dyDescent="0.15">
      <c r="I917">
        <v>913</v>
      </c>
      <c r="J917" t="s">
        <v>0</v>
      </c>
      <c r="K917" s="1">
        <v>38463</v>
      </c>
      <c r="L917" t="s">
        <v>10</v>
      </c>
      <c r="M917" s="3">
        <v>3</v>
      </c>
      <c r="N917" s="2">
        <v>11.082849552887902</v>
      </c>
    </row>
    <row r="918" spans="9:14" x14ac:dyDescent="0.15">
      <c r="I918">
        <v>914</v>
      </c>
      <c r="J918" t="s">
        <v>7</v>
      </c>
      <c r="K918" s="1">
        <v>38903</v>
      </c>
      <c r="L918" t="s">
        <v>10</v>
      </c>
      <c r="M918" s="3">
        <v>50</v>
      </c>
      <c r="N918" s="2">
        <v>151.95954978745411</v>
      </c>
    </row>
    <row r="919" spans="9:14" x14ac:dyDescent="0.15">
      <c r="I919">
        <v>915</v>
      </c>
      <c r="J919" t="s">
        <v>6</v>
      </c>
      <c r="K919" s="1">
        <v>38881</v>
      </c>
      <c r="L919" t="s">
        <v>11</v>
      </c>
      <c r="M919" s="3">
        <v>25</v>
      </c>
      <c r="N919" s="2">
        <v>76.624560231864265</v>
      </c>
    </row>
    <row r="920" spans="9:14" x14ac:dyDescent="0.15">
      <c r="I920">
        <v>916</v>
      </c>
      <c r="J920" t="s">
        <v>1</v>
      </c>
      <c r="K920" s="1">
        <v>38595</v>
      </c>
      <c r="L920" t="s">
        <v>9</v>
      </c>
      <c r="M920" s="3">
        <v>46</v>
      </c>
      <c r="N920" s="2">
        <v>140.2736912488281</v>
      </c>
    </row>
    <row r="921" spans="9:14" x14ac:dyDescent="0.15">
      <c r="I921">
        <v>917</v>
      </c>
      <c r="J921" t="s">
        <v>4</v>
      </c>
      <c r="K921" s="1">
        <v>38914</v>
      </c>
      <c r="L921" t="s">
        <v>10</v>
      </c>
      <c r="M921" s="3">
        <v>19</v>
      </c>
      <c r="N921" s="2">
        <v>58.735580557472737</v>
      </c>
    </row>
    <row r="922" spans="9:14" x14ac:dyDescent="0.15">
      <c r="I922">
        <v>918</v>
      </c>
      <c r="J922" t="s">
        <v>5</v>
      </c>
      <c r="K922" s="1">
        <v>38859</v>
      </c>
      <c r="L922" t="s">
        <v>11</v>
      </c>
      <c r="M922" s="3">
        <v>6</v>
      </c>
      <c r="N922" s="2">
        <v>20.099629096975125</v>
      </c>
    </row>
    <row r="923" spans="9:14" x14ac:dyDescent="0.15">
      <c r="I923">
        <v>919</v>
      </c>
      <c r="J923" t="s">
        <v>0</v>
      </c>
      <c r="K923" s="1">
        <v>38903</v>
      </c>
      <c r="L923" t="s">
        <v>13</v>
      </c>
      <c r="M923" s="3">
        <v>8</v>
      </c>
      <c r="N923" s="2">
        <v>26.084862644671222</v>
      </c>
    </row>
    <row r="924" spans="9:14" x14ac:dyDescent="0.15">
      <c r="I924">
        <v>920</v>
      </c>
      <c r="J924" t="s">
        <v>5</v>
      </c>
      <c r="K924" s="1">
        <v>38727</v>
      </c>
      <c r="L924" t="s">
        <v>12</v>
      </c>
      <c r="M924" s="3">
        <v>-2</v>
      </c>
      <c r="N924" s="2">
        <v>-3.7309676865630421</v>
      </c>
    </row>
    <row r="925" spans="9:14" x14ac:dyDescent="0.15">
      <c r="I925">
        <v>921</v>
      </c>
      <c r="J925" t="s">
        <v>4</v>
      </c>
      <c r="K925" s="1">
        <v>38452</v>
      </c>
      <c r="L925" t="s">
        <v>10</v>
      </c>
      <c r="M925" s="3">
        <v>80</v>
      </c>
      <c r="N925" s="2">
        <v>240.69010526776344</v>
      </c>
    </row>
    <row r="926" spans="9:14" x14ac:dyDescent="0.15">
      <c r="I926">
        <v>922</v>
      </c>
      <c r="J926" t="s">
        <v>0</v>
      </c>
      <c r="K926" s="1">
        <v>38474</v>
      </c>
      <c r="L926" t="s">
        <v>9</v>
      </c>
      <c r="M926" s="3">
        <v>19</v>
      </c>
      <c r="N926" s="2">
        <v>58.904121420487954</v>
      </c>
    </row>
    <row r="927" spans="9:14" x14ac:dyDescent="0.15">
      <c r="I927">
        <v>923</v>
      </c>
      <c r="J927" t="s">
        <v>8</v>
      </c>
      <c r="K927" s="1">
        <v>38452</v>
      </c>
      <c r="L927" t="s">
        <v>13</v>
      </c>
      <c r="M927" s="3">
        <v>27</v>
      </c>
      <c r="N927" s="2">
        <v>82.994094545634482</v>
      </c>
    </row>
    <row r="928" spans="9:14" x14ac:dyDescent="0.15">
      <c r="I928">
        <v>924</v>
      </c>
      <c r="J928" t="s">
        <v>6</v>
      </c>
      <c r="K928" s="1">
        <v>38023</v>
      </c>
      <c r="L928" t="s">
        <v>12</v>
      </c>
      <c r="M928" s="3">
        <v>79</v>
      </c>
      <c r="N928" s="2">
        <v>239.44869651132598</v>
      </c>
    </row>
    <row r="929" spans="9:14" x14ac:dyDescent="0.15">
      <c r="I929">
        <v>925</v>
      </c>
      <c r="J929" t="s">
        <v>0</v>
      </c>
      <c r="K929" s="1">
        <v>38727</v>
      </c>
      <c r="L929" t="s">
        <v>9</v>
      </c>
      <c r="M929" s="3">
        <v>57</v>
      </c>
      <c r="N929" s="2">
        <v>173.32970466821706</v>
      </c>
    </row>
    <row r="930" spans="9:14" x14ac:dyDescent="0.15">
      <c r="I930">
        <v>926</v>
      </c>
      <c r="J930" t="s">
        <v>7</v>
      </c>
      <c r="K930" s="1">
        <v>38705</v>
      </c>
      <c r="L930" t="s">
        <v>10</v>
      </c>
      <c r="M930" s="3">
        <v>47</v>
      </c>
      <c r="N930" s="2">
        <v>143.60165141540284</v>
      </c>
    </row>
    <row r="931" spans="9:14" x14ac:dyDescent="0.15">
      <c r="I931">
        <v>927</v>
      </c>
      <c r="J931" t="s">
        <v>7</v>
      </c>
      <c r="K931" s="1">
        <v>38298</v>
      </c>
      <c r="L931" t="s">
        <v>10</v>
      </c>
      <c r="M931" s="3">
        <v>9</v>
      </c>
      <c r="N931" s="2">
        <v>28.827091013525987</v>
      </c>
    </row>
    <row r="932" spans="9:14" x14ac:dyDescent="0.15">
      <c r="I932">
        <v>928</v>
      </c>
      <c r="J932" t="s">
        <v>0</v>
      </c>
      <c r="K932" s="1">
        <v>38683</v>
      </c>
      <c r="L932" t="s">
        <v>10</v>
      </c>
      <c r="M932" s="3">
        <v>65</v>
      </c>
      <c r="N932" s="2">
        <v>196.85925384860963</v>
      </c>
    </row>
    <row r="933" spans="9:14" x14ac:dyDescent="0.15">
      <c r="I933">
        <v>929</v>
      </c>
      <c r="J933" t="s">
        <v>4</v>
      </c>
      <c r="K933" s="1">
        <v>38056</v>
      </c>
      <c r="L933" t="s">
        <v>9</v>
      </c>
      <c r="M933" s="3">
        <v>58</v>
      </c>
      <c r="N933" s="2">
        <v>175.22266670553387</v>
      </c>
    </row>
    <row r="934" spans="9:14" x14ac:dyDescent="0.15">
      <c r="I934">
        <v>930</v>
      </c>
      <c r="J934" t="s">
        <v>7</v>
      </c>
      <c r="K934" s="1">
        <v>38243</v>
      </c>
      <c r="L934" t="s">
        <v>12</v>
      </c>
      <c r="M934" s="3">
        <v>48</v>
      </c>
      <c r="N934" s="2">
        <v>145.9379301268051</v>
      </c>
    </row>
    <row r="935" spans="9:14" x14ac:dyDescent="0.15">
      <c r="I935">
        <v>931</v>
      </c>
      <c r="J935" t="s">
        <v>4</v>
      </c>
      <c r="K935" s="1">
        <v>38639</v>
      </c>
      <c r="L935" t="s">
        <v>9</v>
      </c>
      <c r="M935" s="3">
        <v>75</v>
      </c>
      <c r="N935" s="2">
        <v>226.61201635446793</v>
      </c>
    </row>
    <row r="936" spans="9:14" x14ac:dyDescent="0.15">
      <c r="I936">
        <v>932</v>
      </c>
      <c r="J936" t="s">
        <v>7</v>
      </c>
      <c r="K936" s="1">
        <v>38738</v>
      </c>
      <c r="L936" t="s">
        <v>9</v>
      </c>
      <c r="M936" s="3">
        <v>59</v>
      </c>
      <c r="N936" s="2">
        <v>179.37483712712185</v>
      </c>
    </row>
    <row r="937" spans="9:14" x14ac:dyDescent="0.15">
      <c r="I937">
        <v>933</v>
      </c>
      <c r="J937" t="s">
        <v>0</v>
      </c>
      <c r="K937" s="1">
        <v>38375</v>
      </c>
      <c r="L937" t="s">
        <v>12</v>
      </c>
      <c r="M937" s="3">
        <v>34</v>
      </c>
      <c r="N937" s="2">
        <v>104.445032643001</v>
      </c>
    </row>
    <row r="938" spans="9:14" x14ac:dyDescent="0.15">
      <c r="I938">
        <v>934</v>
      </c>
      <c r="J938" t="s">
        <v>4</v>
      </c>
      <c r="K938" s="1">
        <v>38078</v>
      </c>
      <c r="L938" t="s">
        <v>13</v>
      </c>
      <c r="M938" s="3">
        <v>57</v>
      </c>
      <c r="N938" s="2">
        <v>173.06756590039018</v>
      </c>
    </row>
    <row r="939" spans="9:14" x14ac:dyDescent="0.15">
      <c r="I939">
        <v>935</v>
      </c>
      <c r="J939" t="s">
        <v>5</v>
      </c>
      <c r="K939" s="1">
        <v>38804</v>
      </c>
      <c r="L939" t="s">
        <v>10</v>
      </c>
      <c r="M939" s="3">
        <v>62</v>
      </c>
      <c r="N939" s="2">
        <v>187.88584432496489</v>
      </c>
    </row>
    <row r="940" spans="9:14" x14ac:dyDescent="0.15">
      <c r="I940">
        <v>936</v>
      </c>
      <c r="J940" t="s">
        <v>1</v>
      </c>
      <c r="K940" s="1">
        <v>38903</v>
      </c>
      <c r="L940" t="s">
        <v>13</v>
      </c>
      <c r="M940" s="3">
        <v>17</v>
      </c>
      <c r="N940" s="2">
        <v>53.048677008733435</v>
      </c>
    </row>
    <row r="941" spans="9:14" x14ac:dyDescent="0.15">
      <c r="I941">
        <v>937</v>
      </c>
      <c r="J941" t="s">
        <v>6</v>
      </c>
      <c r="K941" s="1">
        <v>38562</v>
      </c>
      <c r="L941" t="s">
        <v>9</v>
      </c>
      <c r="M941" s="3">
        <v>83</v>
      </c>
      <c r="N941" s="2">
        <v>250.82439492521385</v>
      </c>
    </row>
    <row r="942" spans="9:14" x14ac:dyDescent="0.15">
      <c r="I942">
        <v>938</v>
      </c>
      <c r="J942" t="s">
        <v>6</v>
      </c>
      <c r="K942" s="1">
        <v>38188</v>
      </c>
      <c r="L942" t="s">
        <v>10</v>
      </c>
      <c r="M942" s="3">
        <v>56</v>
      </c>
      <c r="N942" s="2">
        <v>169.84037281505195</v>
      </c>
    </row>
    <row r="943" spans="9:14" x14ac:dyDescent="0.15">
      <c r="I943">
        <v>939</v>
      </c>
      <c r="J943" t="s">
        <v>3</v>
      </c>
      <c r="K943" s="1">
        <v>38045</v>
      </c>
      <c r="L943" t="s">
        <v>10</v>
      </c>
      <c r="M943" s="3">
        <v>14</v>
      </c>
      <c r="N943" s="2">
        <v>44.194328055358937</v>
      </c>
    </row>
    <row r="944" spans="9:14" x14ac:dyDescent="0.15">
      <c r="I944">
        <v>940</v>
      </c>
      <c r="J944" t="s">
        <v>2</v>
      </c>
      <c r="K944" s="1">
        <v>38353</v>
      </c>
      <c r="L944" t="s">
        <v>13</v>
      </c>
      <c r="M944" s="3">
        <v>-9</v>
      </c>
      <c r="N944" s="2">
        <v>-24.562782237120555</v>
      </c>
    </row>
    <row r="945" spans="9:14" x14ac:dyDescent="0.15">
      <c r="I945">
        <v>941</v>
      </c>
      <c r="J945" t="s">
        <v>8</v>
      </c>
      <c r="K945" s="1">
        <v>38551</v>
      </c>
      <c r="L945" t="s">
        <v>9</v>
      </c>
      <c r="M945" s="3">
        <v>44</v>
      </c>
      <c r="N945" s="2">
        <v>134.50349016705422</v>
      </c>
    </row>
    <row r="946" spans="9:14" x14ac:dyDescent="0.15">
      <c r="I946">
        <v>942</v>
      </c>
      <c r="J946" t="s">
        <v>4</v>
      </c>
      <c r="K946" s="1">
        <v>38023</v>
      </c>
      <c r="L946" t="s">
        <v>11</v>
      </c>
      <c r="M946" s="3">
        <v>32</v>
      </c>
      <c r="N946" s="2">
        <v>97.6497815079464</v>
      </c>
    </row>
    <row r="947" spans="9:14" x14ac:dyDescent="0.15">
      <c r="I947">
        <v>943</v>
      </c>
      <c r="J947" t="s">
        <v>0</v>
      </c>
      <c r="K947" s="1">
        <v>38364</v>
      </c>
      <c r="L947" t="s">
        <v>11</v>
      </c>
      <c r="M947" s="3">
        <v>85</v>
      </c>
      <c r="N947" s="2">
        <v>256.97037064610868</v>
      </c>
    </row>
    <row r="948" spans="9:14" x14ac:dyDescent="0.15">
      <c r="I948">
        <v>944</v>
      </c>
      <c r="J948" t="s">
        <v>8</v>
      </c>
      <c r="K948" s="1">
        <v>38254</v>
      </c>
      <c r="L948" t="s">
        <v>10</v>
      </c>
      <c r="M948" s="3">
        <v>-2</v>
      </c>
      <c r="N948" s="2">
        <v>-3.7233562380367276</v>
      </c>
    </row>
    <row r="949" spans="9:14" x14ac:dyDescent="0.15">
      <c r="I949">
        <v>945</v>
      </c>
      <c r="J949" t="s">
        <v>5</v>
      </c>
      <c r="K949" s="1">
        <v>38386</v>
      </c>
      <c r="L949" t="s">
        <v>13</v>
      </c>
      <c r="M949" s="3">
        <v>31</v>
      </c>
      <c r="N949" s="2">
        <v>94.439645321373334</v>
      </c>
    </row>
    <row r="950" spans="9:14" x14ac:dyDescent="0.15">
      <c r="I950">
        <v>946</v>
      </c>
      <c r="J950" t="s">
        <v>7</v>
      </c>
      <c r="K950" s="1">
        <v>38221</v>
      </c>
      <c r="L950" t="s">
        <v>11</v>
      </c>
      <c r="M950" s="3">
        <v>-7</v>
      </c>
      <c r="N950" s="2">
        <v>-19.822062355825821</v>
      </c>
    </row>
    <row r="951" spans="9:14" x14ac:dyDescent="0.15">
      <c r="I951">
        <v>947</v>
      </c>
      <c r="J951" t="s">
        <v>2</v>
      </c>
      <c r="K951" s="1">
        <v>38012</v>
      </c>
      <c r="L951" t="s">
        <v>13</v>
      </c>
      <c r="M951" s="3">
        <v>-1</v>
      </c>
      <c r="N951" s="2">
        <v>-0.28735784707427747</v>
      </c>
    </row>
    <row r="952" spans="9:14" x14ac:dyDescent="0.15">
      <c r="I952">
        <v>948</v>
      </c>
      <c r="J952" t="s">
        <v>6</v>
      </c>
      <c r="K952" s="1">
        <v>39046</v>
      </c>
      <c r="L952" t="s">
        <v>10</v>
      </c>
      <c r="M952" s="3">
        <v>6</v>
      </c>
      <c r="N952" s="2">
        <v>20.397135812092845</v>
      </c>
    </row>
    <row r="953" spans="9:14" x14ac:dyDescent="0.15">
      <c r="I953">
        <v>949</v>
      </c>
      <c r="J953" t="s">
        <v>1</v>
      </c>
      <c r="K953" s="1">
        <v>38144</v>
      </c>
      <c r="L953" t="s">
        <v>9</v>
      </c>
      <c r="M953" s="3">
        <v>13</v>
      </c>
      <c r="N953" s="2">
        <v>41.830169969209855</v>
      </c>
    </row>
    <row r="954" spans="9:14" x14ac:dyDescent="0.15">
      <c r="I954">
        <v>950</v>
      </c>
      <c r="J954" t="s">
        <v>6</v>
      </c>
      <c r="K954" s="1">
        <v>38287</v>
      </c>
      <c r="L954" t="s">
        <v>10</v>
      </c>
      <c r="M954" s="3">
        <v>70</v>
      </c>
      <c r="N954" s="2">
        <v>212.45510789670757</v>
      </c>
    </row>
    <row r="955" spans="9:14" x14ac:dyDescent="0.15">
      <c r="I955">
        <v>951</v>
      </c>
      <c r="J955" t="s">
        <v>2</v>
      </c>
      <c r="K955" s="1">
        <v>38155</v>
      </c>
      <c r="L955" t="s">
        <v>9</v>
      </c>
      <c r="M955" s="3">
        <v>15</v>
      </c>
      <c r="N955" s="2">
        <v>47.749438891041251</v>
      </c>
    </row>
    <row r="956" spans="9:14" x14ac:dyDescent="0.15">
      <c r="I956">
        <v>952</v>
      </c>
      <c r="J956" t="s">
        <v>1</v>
      </c>
      <c r="K956" s="1">
        <v>38826</v>
      </c>
      <c r="L956" t="s">
        <v>12</v>
      </c>
      <c r="M956" s="3">
        <v>18</v>
      </c>
      <c r="N956" s="2">
        <v>56.257832632332345</v>
      </c>
    </row>
    <row r="957" spans="9:14" x14ac:dyDescent="0.15">
      <c r="I957">
        <v>953</v>
      </c>
      <c r="J957" t="s">
        <v>1</v>
      </c>
      <c r="K957" s="1">
        <v>38771</v>
      </c>
      <c r="L957" t="s">
        <v>11</v>
      </c>
      <c r="M957" s="3">
        <v>30</v>
      </c>
      <c r="N957" s="2">
        <v>92.196479665554932</v>
      </c>
    </row>
    <row r="958" spans="9:14" x14ac:dyDescent="0.15">
      <c r="I958">
        <v>954</v>
      </c>
      <c r="J958" t="s">
        <v>4</v>
      </c>
      <c r="K958" s="1">
        <v>39024</v>
      </c>
      <c r="L958" t="s">
        <v>12</v>
      </c>
      <c r="M958" s="3">
        <v>17</v>
      </c>
      <c r="N958" s="2">
        <v>53.067953295003726</v>
      </c>
    </row>
    <row r="959" spans="9:14" x14ac:dyDescent="0.15">
      <c r="I959">
        <v>955</v>
      </c>
      <c r="J959" t="s">
        <v>4</v>
      </c>
      <c r="K959" s="1">
        <v>38364</v>
      </c>
      <c r="L959" t="s">
        <v>11</v>
      </c>
      <c r="M959" s="3">
        <v>-1</v>
      </c>
      <c r="N959" s="2">
        <v>-1.4540693559294799</v>
      </c>
    </row>
    <row r="960" spans="9:14" x14ac:dyDescent="0.15">
      <c r="I960">
        <v>956</v>
      </c>
      <c r="J960" t="s">
        <v>0</v>
      </c>
      <c r="K960" s="1">
        <v>38430</v>
      </c>
      <c r="L960" t="s">
        <v>9</v>
      </c>
      <c r="M960" s="3">
        <v>50</v>
      </c>
      <c r="N960" s="2">
        <v>152.31719787311525</v>
      </c>
    </row>
    <row r="961" spans="9:14" x14ac:dyDescent="0.15">
      <c r="I961">
        <v>957</v>
      </c>
      <c r="J961" t="s">
        <v>6</v>
      </c>
      <c r="K961" s="1">
        <v>38716</v>
      </c>
      <c r="L961" t="s">
        <v>10</v>
      </c>
      <c r="M961" s="3">
        <v>83</v>
      </c>
      <c r="N961" s="2">
        <v>251.0948967308864</v>
      </c>
    </row>
    <row r="962" spans="9:14" x14ac:dyDescent="0.15">
      <c r="I962">
        <v>958</v>
      </c>
      <c r="J962" t="s">
        <v>5</v>
      </c>
      <c r="K962" s="1">
        <v>38111</v>
      </c>
      <c r="L962" t="s">
        <v>12</v>
      </c>
      <c r="M962" s="3">
        <v>54</v>
      </c>
      <c r="N962" s="2">
        <v>164.08170340636366</v>
      </c>
    </row>
    <row r="963" spans="9:14" x14ac:dyDescent="0.15">
      <c r="I963">
        <v>959</v>
      </c>
      <c r="J963" t="s">
        <v>6</v>
      </c>
      <c r="K963" s="1">
        <v>38463</v>
      </c>
      <c r="L963" t="s">
        <v>10</v>
      </c>
      <c r="M963" s="3">
        <v>16</v>
      </c>
      <c r="N963" s="2">
        <v>49.968087631431565</v>
      </c>
    </row>
    <row r="964" spans="9:14" x14ac:dyDescent="0.15">
      <c r="I964">
        <v>960</v>
      </c>
      <c r="J964" t="s">
        <v>5</v>
      </c>
      <c r="K964" s="1">
        <v>38980</v>
      </c>
      <c r="L964" t="s">
        <v>10</v>
      </c>
      <c r="M964" s="3">
        <v>53</v>
      </c>
      <c r="N964" s="2">
        <v>160.95914621811275</v>
      </c>
    </row>
    <row r="965" spans="9:14" x14ac:dyDescent="0.15">
      <c r="I965">
        <v>961</v>
      </c>
      <c r="J965" t="s">
        <v>1</v>
      </c>
      <c r="K965" s="1">
        <v>38727</v>
      </c>
      <c r="L965" t="s">
        <v>11</v>
      </c>
      <c r="M965" s="3">
        <v>95</v>
      </c>
      <c r="N965" s="2">
        <v>286.71922939024518</v>
      </c>
    </row>
    <row r="966" spans="9:14" x14ac:dyDescent="0.15">
      <c r="I966">
        <v>962</v>
      </c>
      <c r="J966" t="s">
        <v>6</v>
      </c>
      <c r="K966" s="1">
        <v>37990</v>
      </c>
      <c r="L966" t="s">
        <v>12</v>
      </c>
      <c r="M966" s="3">
        <v>74</v>
      </c>
      <c r="N966" s="2">
        <v>224.1344883418044</v>
      </c>
    </row>
    <row r="967" spans="9:14" x14ac:dyDescent="0.15">
      <c r="I967">
        <v>963</v>
      </c>
      <c r="J967" t="s">
        <v>2</v>
      </c>
      <c r="K967" s="1">
        <v>38584</v>
      </c>
      <c r="L967" t="s">
        <v>12</v>
      </c>
      <c r="M967" s="3">
        <v>11</v>
      </c>
      <c r="N967" s="2">
        <v>35.126507167926178</v>
      </c>
    </row>
    <row r="968" spans="9:14" x14ac:dyDescent="0.15">
      <c r="I968">
        <v>964</v>
      </c>
      <c r="J968" t="s">
        <v>3</v>
      </c>
      <c r="K968" s="1">
        <v>38980</v>
      </c>
      <c r="L968" t="s">
        <v>9</v>
      </c>
      <c r="M968" s="3">
        <v>63</v>
      </c>
      <c r="N968" s="2">
        <v>191.00092010309442</v>
      </c>
    </row>
    <row r="969" spans="9:14" x14ac:dyDescent="0.15">
      <c r="I969">
        <v>965</v>
      </c>
      <c r="J969" t="s">
        <v>8</v>
      </c>
      <c r="K969" s="1">
        <v>38595</v>
      </c>
      <c r="L969" t="s">
        <v>11</v>
      </c>
      <c r="M969" s="3">
        <v>53</v>
      </c>
      <c r="N969" s="2">
        <v>161.23768017364921</v>
      </c>
    </row>
    <row r="970" spans="9:14" x14ac:dyDescent="0.15">
      <c r="I970">
        <v>966</v>
      </c>
      <c r="J970" t="s">
        <v>4</v>
      </c>
      <c r="K970" s="1">
        <v>38925</v>
      </c>
      <c r="L970" t="s">
        <v>10</v>
      </c>
      <c r="M970" s="3">
        <v>1</v>
      </c>
      <c r="N970" s="2">
        <v>5.2816840348822387</v>
      </c>
    </row>
    <row r="971" spans="9:14" x14ac:dyDescent="0.15">
      <c r="I971">
        <v>967</v>
      </c>
      <c r="J971" t="s">
        <v>1</v>
      </c>
      <c r="K971" s="1">
        <v>38309</v>
      </c>
      <c r="L971" t="s">
        <v>9</v>
      </c>
      <c r="M971" s="3">
        <v>24</v>
      </c>
      <c r="N971" s="2">
        <v>74.30729541001925</v>
      </c>
    </row>
    <row r="972" spans="9:14" x14ac:dyDescent="0.15">
      <c r="I972">
        <v>968</v>
      </c>
      <c r="J972" t="s">
        <v>4</v>
      </c>
      <c r="K972" s="1">
        <v>38815</v>
      </c>
      <c r="L972" t="s">
        <v>13</v>
      </c>
      <c r="M972" s="3">
        <v>5</v>
      </c>
      <c r="N972" s="2">
        <v>16.422750032809695</v>
      </c>
    </row>
    <row r="973" spans="9:14" x14ac:dyDescent="0.15">
      <c r="I973">
        <v>969</v>
      </c>
      <c r="J973" t="s">
        <v>8</v>
      </c>
      <c r="K973" s="1">
        <v>38408</v>
      </c>
      <c r="L973" t="s">
        <v>10</v>
      </c>
      <c r="M973" s="3">
        <v>35</v>
      </c>
      <c r="N973" s="2">
        <v>107.34237990295979</v>
      </c>
    </row>
    <row r="974" spans="9:14" x14ac:dyDescent="0.15">
      <c r="I974">
        <v>970</v>
      </c>
      <c r="J974" t="s">
        <v>8</v>
      </c>
      <c r="K974" s="1">
        <v>38859</v>
      </c>
      <c r="L974" t="s">
        <v>11</v>
      </c>
      <c r="M974" s="3">
        <v>33</v>
      </c>
      <c r="N974" s="2">
        <v>100.6187200673516</v>
      </c>
    </row>
    <row r="975" spans="9:14" x14ac:dyDescent="0.15">
      <c r="I975">
        <v>971</v>
      </c>
      <c r="J975" t="s">
        <v>5</v>
      </c>
      <c r="K975" s="1">
        <v>38749</v>
      </c>
      <c r="L975" t="s">
        <v>12</v>
      </c>
      <c r="M975" s="3">
        <v>65</v>
      </c>
      <c r="N975" s="2">
        <v>196.63630077143569</v>
      </c>
    </row>
    <row r="976" spans="9:14" x14ac:dyDescent="0.15">
      <c r="I976">
        <v>972</v>
      </c>
      <c r="J976" t="s">
        <v>7</v>
      </c>
      <c r="K976" s="1">
        <v>38760</v>
      </c>
      <c r="L976" t="s">
        <v>12</v>
      </c>
      <c r="M976" s="3">
        <v>52</v>
      </c>
      <c r="N976" s="2">
        <v>158.33506008490392</v>
      </c>
    </row>
    <row r="977" spans="9:14" x14ac:dyDescent="0.15">
      <c r="I977">
        <v>973</v>
      </c>
      <c r="J977" t="s">
        <v>7</v>
      </c>
      <c r="K977" s="1">
        <v>38947</v>
      </c>
      <c r="L977" t="s">
        <v>12</v>
      </c>
      <c r="M977" s="3">
        <v>44</v>
      </c>
      <c r="N977" s="2">
        <v>133.42498328468113</v>
      </c>
    </row>
    <row r="978" spans="9:14" x14ac:dyDescent="0.15">
      <c r="I978">
        <v>974</v>
      </c>
      <c r="J978" t="s">
        <v>6</v>
      </c>
      <c r="K978" s="1">
        <v>39002</v>
      </c>
      <c r="L978" t="s">
        <v>13</v>
      </c>
      <c r="M978" s="3">
        <v>72</v>
      </c>
      <c r="N978" s="2">
        <v>218.057153790916</v>
      </c>
    </row>
    <row r="979" spans="9:14" x14ac:dyDescent="0.15">
      <c r="I979">
        <v>975</v>
      </c>
      <c r="J979" t="s">
        <v>5</v>
      </c>
      <c r="K979" s="1">
        <v>38243</v>
      </c>
      <c r="L979" t="s">
        <v>12</v>
      </c>
      <c r="M979" s="3">
        <v>13</v>
      </c>
      <c r="N979" s="2">
        <v>41.138712352864658</v>
      </c>
    </row>
    <row r="980" spans="9:14" x14ac:dyDescent="0.15">
      <c r="I980">
        <v>976</v>
      </c>
      <c r="J980" t="s">
        <v>4</v>
      </c>
      <c r="K980" s="1">
        <v>38969</v>
      </c>
      <c r="L980" t="s">
        <v>9</v>
      </c>
      <c r="M980" s="3">
        <v>16</v>
      </c>
      <c r="N980" s="2">
        <v>50.15918619514666</v>
      </c>
    </row>
    <row r="981" spans="9:14" x14ac:dyDescent="0.15">
      <c r="I981">
        <v>977</v>
      </c>
      <c r="J981" t="s">
        <v>7</v>
      </c>
      <c r="K981" s="1">
        <v>38760</v>
      </c>
      <c r="L981" t="s">
        <v>9</v>
      </c>
      <c r="M981" s="3">
        <v>19</v>
      </c>
      <c r="N981" s="2">
        <v>59.265314003350476</v>
      </c>
    </row>
    <row r="982" spans="9:14" x14ac:dyDescent="0.15">
      <c r="I982">
        <v>978</v>
      </c>
      <c r="J982" t="s">
        <v>4</v>
      </c>
      <c r="K982" s="1">
        <v>38485</v>
      </c>
      <c r="L982" t="s">
        <v>12</v>
      </c>
      <c r="M982" s="3">
        <v>67</v>
      </c>
      <c r="N982" s="2">
        <v>203.43497713652508</v>
      </c>
    </row>
    <row r="983" spans="9:14" x14ac:dyDescent="0.15">
      <c r="I983">
        <v>979</v>
      </c>
      <c r="J983" t="s">
        <v>5</v>
      </c>
      <c r="K983" s="1">
        <v>38760</v>
      </c>
      <c r="L983" t="s">
        <v>10</v>
      </c>
      <c r="M983" s="3">
        <v>2</v>
      </c>
      <c r="N983" s="2">
        <v>8.3122868755040553</v>
      </c>
    </row>
    <row r="984" spans="9:14" x14ac:dyDescent="0.15">
      <c r="I984">
        <v>980</v>
      </c>
      <c r="J984" t="s">
        <v>4</v>
      </c>
      <c r="K984" s="1">
        <v>38870</v>
      </c>
      <c r="L984" t="s">
        <v>12</v>
      </c>
      <c r="M984" s="3">
        <v>28</v>
      </c>
      <c r="N984" s="2">
        <v>85.787320991735939</v>
      </c>
    </row>
    <row r="985" spans="9:14" x14ac:dyDescent="0.15">
      <c r="I985">
        <v>981</v>
      </c>
      <c r="J985" t="s">
        <v>2</v>
      </c>
      <c r="K985" s="1">
        <v>38584</v>
      </c>
      <c r="L985" t="s">
        <v>9</v>
      </c>
      <c r="M985" s="3">
        <v>-6</v>
      </c>
      <c r="N985" s="2">
        <v>-15.854559071603056</v>
      </c>
    </row>
    <row r="986" spans="9:14" x14ac:dyDescent="0.15">
      <c r="I986">
        <v>982</v>
      </c>
      <c r="J986" t="s">
        <v>6</v>
      </c>
      <c r="K986" s="1">
        <v>38441</v>
      </c>
      <c r="L986" t="s">
        <v>12</v>
      </c>
      <c r="M986" s="3">
        <v>70</v>
      </c>
      <c r="N986" s="2">
        <v>212.03178089307775</v>
      </c>
    </row>
    <row r="987" spans="9:14" x14ac:dyDescent="0.15">
      <c r="I987">
        <v>983</v>
      </c>
      <c r="J987" t="s">
        <v>3</v>
      </c>
      <c r="K987" s="1">
        <v>38771</v>
      </c>
      <c r="L987" t="s">
        <v>10</v>
      </c>
      <c r="M987" s="3">
        <v>65</v>
      </c>
      <c r="N987" s="2">
        <v>197.18663086835969</v>
      </c>
    </row>
    <row r="988" spans="9:14" x14ac:dyDescent="0.15">
      <c r="I988">
        <v>984</v>
      </c>
      <c r="J988" t="s">
        <v>5</v>
      </c>
      <c r="K988" s="1">
        <v>39079</v>
      </c>
      <c r="L988" t="s">
        <v>9</v>
      </c>
      <c r="M988" s="3">
        <v>39</v>
      </c>
      <c r="N988" s="2">
        <v>119.05118285965317</v>
      </c>
    </row>
    <row r="989" spans="9:14" x14ac:dyDescent="0.15">
      <c r="I989">
        <v>985</v>
      </c>
      <c r="J989" t="s">
        <v>3</v>
      </c>
      <c r="K989" s="1">
        <v>38958</v>
      </c>
      <c r="L989" t="s">
        <v>9</v>
      </c>
      <c r="M989" s="3">
        <v>72</v>
      </c>
      <c r="N989" s="2">
        <v>218.19229267045282</v>
      </c>
    </row>
    <row r="990" spans="9:14" x14ac:dyDescent="0.15">
      <c r="I990">
        <v>986</v>
      </c>
      <c r="J990" t="s">
        <v>8</v>
      </c>
      <c r="K990" s="1">
        <v>38474</v>
      </c>
      <c r="L990" t="s">
        <v>13</v>
      </c>
      <c r="M990" s="3">
        <v>47</v>
      </c>
      <c r="N990" s="2">
        <v>142.53694145811323</v>
      </c>
    </row>
    <row r="991" spans="9:14" x14ac:dyDescent="0.15">
      <c r="I991">
        <v>987</v>
      </c>
      <c r="J991" t="s">
        <v>5</v>
      </c>
      <c r="K991" s="1">
        <v>38848</v>
      </c>
      <c r="L991" t="s">
        <v>10</v>
      </c>
      <c r="M991" s="3">
        <v>94</v>
      </c>
      <c r="N991" s="2">
        <v>283.57943523104291</v>
      </c>
    </row>
    <row r="992" spans="9:14" x14ac:dyDescent="0.15">
      <c r="I992">
        <v>988</v>
      </c>
      <c r="J992" t="s">
        <v>8</v>
      </c>
      <c r="K992" s="1">
        <v>38485</v>
      </c>
      <c r="L992" t="s">
        <v>10</v>
      </c>
      <c r="M992" s="3">
        <v>58</v>
      </c>
      <c r="N992" s="2">
        <v>175.8230061159172</v>
      </c>
    </row>
    <row r="993" spans="9:14" x14ac:dyDescent="0.15">
      <c r="I993">
        <v>989</v>
      </c>
      <c r="J993" t="s">
        <v>0</v>
      </c>
      <c r="K993" s="1">
        <v>38122</v>
      </c>
      <c r="L993" t="s">
        <v>11</v>
      </c>
      <c r="M993" s="3">
        <v>-6</v>
      </c>
      <c r="N993" s="2">
        <v>-17.288821571122082</v>
      </c>
    </row>
    <row r="994" spans="9:14" x14ac:dyDescent="0.15">
      <c r="I994">
        <v>990</v>
      </c>
      <c r="J994" t="s">
        <v>2</v>
      </c>
      <c r="K994" s="1">
        <v>38034</v>
      </c>
      <c r="L994" t="s">
        <v>11</v>
      </c>
      <c r="M994" s="3">
        <v>38</v>
      </c>
      <c r="N994" s="2">
        <v>115.96163338782357</v>
      </c>
    </row>
    <row r="995" spans="9:14" x14ac:dyDescent="0.15">
      <c r="I995">
        <v>991</v>
      </c>
      <c r="J995" t="s">
        <v>1</v>
      </c>
      <c r="K995" s="1">
        <v>38001</v>
      </c>
      <c r="L995" t="s">
        <v>11</v>
      </c>
      <c r="M995" s="3">
        <v>-1</v>
      </c>
      <c r="N995" s="2">
        <v>-1.0160108133922805</v>
      </c>
    </row>
    <row r="996" spans="9:14" x14ac:dyDescent="0.15">
      <c r="I996">
        <v>992</v>
      </c>
      <c r="J996" t="s">
        <v>0</v>
      </c>
      <c r="K996" s="1">
        <v>38672</v>
      </c>
      <c r="L996" t="s">
        <v>11</v>
      </c>
      <c r="M996" s="3">
        <v>34</v>
      </c>
      <c r="N996" s="2">
        <v>104.57917159926555</v>
      </c>
    </row>
    <row r="997" spans="9:14" x14ac:dyDescent="0.15">
      <c r="I997">
        <v>993</v>
      </c>
      <c r="J997" t="s">
        <v>4</v>
      </c>
      <c r="K997" s="1">
        <v>38078</v>
      </c>
      <c r="L997" t="s">
        <v>10</v>
      </c>
      <c r="M997" s="3">
        <v>30</v>
      </c>
      <c r="N997" s="2">
        <v>91.71732531853138</v>
      </c>
    </row>
    <row r="998" spans="9:14" x14ac:dyDescent="0.15">
      <c r="I998">
        <v>994</v>
      </c>
      <c r="J998" t="s">
        <v>2</v>
      </c>
      <c r="K998" s="1">
        <v>38133</v>
      </c>
      <c r="L998" t="s">
        <v>9</v>
      </c>
      <c r="M998" s="3">
        <v>62</v>
      </c>
      <c r="N998" s="2">
        <v>187.43238539805822</v>
      </c>
    </row>
    <row r="999" spans="9:14" x14ac:dyDescent="0.15">
      <c r="I999">
        <v>995</v>
      </c>
      <c r="J999" t="s">
        <v>8</v>
      </c>
      <c r="K999" s="1">
        <v>38760</v>
      </c>
      <c r="L999" t="s">
        <v>10</v>
      </c>
      <c r="M999" s="3">
        <v>24</v>
      </c>
      <c r="N999" s="2">
        <v>74.211669903196139</v>
      </c>
    </row>
    <row r="1000" spans="9:14" x14ac:dyDescent="0.15">
      <c r="I1000">
        <v>996</v>
      </c>
      <c r="J1000" t="s">
        <v>2</v>
      </c>
      <c r="K1000" s="1">
        <v>38243</v>
      </c>
      <c r="L1000" t="s">
        <v>11</v>
      </c>
      <c r="M1000" s="3">
        <v>4</v>
      </c>
      <c r="N1000" s="2">
        <v>13.654188955553082</v>
      </c>
    </row>
    <row r="1001" spans="9:14" x14ac:dyDescent="0.15">
      <c r="I1001">
        <v>997</v>
      </c>
      <c r="J1001" t="s">
        <v>5</v>
      </c>
      <c r="K1001" s="1">
        <v>38144</v>
      </c>
      <c r="L1001" t="s">
        <v>10</v>
      </c>
      <c r="M1001" s="3">
        <v>88</v>
      </c>
      <c r="N1001" s="2">
        <v>265.2916292071763</v>
      </c>
    </row>
    <row r="1002" spans="9:14" x14ac:dyDescent="0.15">
      <c r="I1002">
        <v>998</v>
      </c>
      <c r="J1002" t="s">
        <v>5</v>
      </c>
      <c r="K1002" s="1">
        <v>38628</v>
      </c>
      <c r="L1002" t="s">
        <v>11</v>
      </c>
      <c r="M1002" s="3">
        <v>78</v>
      </c>
      <c r="N1002" s="2">
        <v>235.69356375172592</v>
      </c>
    </row>
    <row r="1003" spans="9:14" x14ac:dyDescent="0.15">
      <c r="I1003">
        <v>999</v>
      </c>
      <c r="J1003" t="s">
        <v>6</v>
      </c>
      <c r="K1003" s="1">
        <v>38639</v>
      </c>
      <c r="L1003" t="s">
        <v>11</v>
      </c>
      <c r="M1003" s="3">
        <v>82</v>
      </c>
      <c r="N1003" s="2">
        <v>248.12045570070282</v>
      </c>
    </row>
    <row r="1004" spans="9:14" x14ac:dyDescent="0.15">
      <c r="I1004">
        <v>1000</v>
      </c>
      <c r="J1004" t="s">
        <v>1</v>
      </c>
      <c r="K1004" s="1">
        <v>38485</v>
      </c>
      <c r="L1004" t="s">
        <v>10</v>
      </c>
      <c r="M1004" s="3">
        <v>68</v>
      </c>
      <c r="N1004" s="2">
        <v>206.8704837754205</v>
      </c>
    </row>
    <row r="1005" spans="9:14" x14ac:dyDescent="0.15">
      <c r="I1005">
        <v>1001</v>
      </c>
      <c r="J1005" t="s">
        <v>1</v>
      </c>
      <c r="K1005" s="1">
        <v>38034</v>
      </c>
      <c r="L1005" t="s">
        <v>9</v>
      </c>
      <c r="M1005" s="3">
        <v>20</v>
      </c>
      <c r="N1005" s="2">
        <v>61.598286646601295</v>
      </c>
    </row>
    <row r="1006" spans="9:14" x14ac:dyDescent="0.15">
      <c r="I1006">
        <v>1002</v>
      </c>
      <c r="J1006" t="s">
        <v>2</v>
      </c>
      <c r="K1006" s="1">
        <v>38265</v>
      </c>
      <c r="L1006" t="s">
        <v>10</v>
      </c>
      <c r="M1006" s="3">
        <v>-10</v>
      </c>
      <c r="N1006" s="2">
        <v>-28.326133240637468</v>
      </c>
    </row>
    <row r="1007" spans="9:14" x14ac:dyDescent="0.15">
      <c r="I1007">
        <v>1003</v>
      </c>
      <c r="J1007" t="s">
        <v>4</v>
      </c>
      <c r="K1007" s="1">
        <v>38254</v>
      </c>
      <c r="L1007" t="s">
        <v>11</v>
      </c>
      <c r="M1007" s="3">
        <v>94</v>
      </c>
      <c r="N1007" s="2">
        <v>283.987112843305</v>
      </c>
    </row>
    <row r="1008" spans="9:14" x14ac:dyDescent="0.15">
      <c r="I1008">
        <v>1004</v>
      </c>
      <c r="J1008" t="s">
        <v>4</v>
      </c>
      <c r="K1008" s="1">
        <v>38815</v>
      </c>
      <c r="L1008" t="s">
        <v>9</v>
      </c>
      <c r="M1008" s="3">
        <v>62</v>
      </c>
      <c r="N1008" s="2">
        <v>188.00253303300292</v>
      </c>
    </row>
    <row r="1009" spans="9:14" x14ac:dyDescent="0.15">
      <c r="I1009">
        <v>1005</v>
      </c>
      <c r="J1009" t="s">
        <v>5</v>
      </c>
      <c r="K1009" s="1">
        <v>38177</v>
      </c>
      <c r="L1009" t="s">
        <v>12</v>
      </c>
      <c r="M1009" s="3">
        <v>71</v>
      </c>
      <c r="N1009" s="2">
        <v>215.02251352159234</v>
      </c>
    </row>
    <row r="1010" spans="9:14" x14ac:dyDescent="0.15">
      <c r="I1010">
        <v>1006</v>
      </c>
      <c r="J1010" t="s">
        <v>6</v>
      </c>
      <c r="K1010" s="1">
        <v>38067</v>
      </c>
      <c r="L1010" t="s">
        <v>13</v>
      </c>
      <c r="M1010" s="3">
        <v>70</v>
      </c>
      <c r="N1010" s="2">
        <v>211.5224440500217</v>
      </c>
    </row>
    <row r="1011" spans="9:14" x14ac:dyDescent="0.15">
      <c r="I1011">
        <v>1007</v>
      </c>
      <c r="J1011" t="s">
        <v>7</v>
      </c>
      <c r="K1011" s="1">
        <v>38089</v>
      </c>
      <c r="L1011" t="s">
        <v>9</v>
      </c>
      <c r="M1011" s="3">
        <v>17</v>
      </c>
      <c r="N1011" s="2">
        <v>52.007206372460615</v>
      </c>
    </row>
    <row r="1012" spans="9:14" x14ac:dyDescent="0.15">
      <c r="I1012">
        <v>1008</v>
      </c>
      <c r="J1012" t="s">
        <v>6</v>
      </c>
      <c r="K1012" s="1">
        <v>38694</v>
      </c>
      <c r="L1012" t="s">
        <v>11</v>
      </c>
      <c r="M1012" s="3">
        <v>51</v>
      </c>
      <c r="N1012" s="2">
        <v>154.86582287521293</v>
      </c>
    </row>
    <row r="1013" spans="9:14" x14ac:dyDescent="0.15">
      <c r="I1013">
        <v>1009</v>
      </c>
      <c r="J1013" t="s">
        <v>8</v>
      </c>
      <c r="K1013" s="1">
        <v>38837</v>
      </c>
      <c r="L1013" t="s">
        <v>12</v>
      </c>
      <c r="M1013" s="3">
        <v>70</v>
      </c>
      <c r="N1013" s="2">
        <v>212.18684363818184</v>
      </c>
    </row>
    <row r="1014" spans="9:14" x14ac:dyDescent="0.15">
      <c r="I1014">
        <v>1010</v>
      </c>
      <c r="J1014" t="s">
        <v>4</v>
      </c>
      <c r="K1014" s="1">
        <v>38892</v>
      </c>
      <c r="L1014" t="s">
        <v>11</v>
      </c>
      <c r="M1014" s="3">
        <v>94</v>
      </c>
      <c r="N1014" s="2">
        <v>283.91906780587465</v>
      </c>
    </row>
    <row r="1015" spans="9:14" x14ac:dyDescent="0.15">
      <c r="I1015">
        <v>1011</v>
      </c>
      <c r="J1015" t="s">
        <v>2</v>
      </c>
      <c r="K1015" s="1">
        <v>38331</v>
      </c>
      <c r="L1015" t="s">
        <v>12</v>
      </c>
      <c r="M1015" s="3">
        <v>70</v>
      </c>
      <c r="N1015" s="2">
        <v>211.85016457637715</v>
      </c>
    </row>
    <row r="1016" spans="9:14" x14ac:dyDescent="0.15">
      <c r="I1016">
        <v>1012</v>
      </c>
      <c r="J1016" t="s">
        <v>6</v>
      </c>
      <c r="K1016" s="1">
        <v>38485</v>
      </c>
      <c r="L1016" t="s">
        <v>10</v>
      </c>
      <c r="M1016" s="3">
        <v>89</v>
      </c>
      <c r="N1016" s="2">
        <v>269.18851021987467</v>
      </c>
    </row>
    <row r="1017" spans="9:14" x14ac:dyDescent="0.15">
      <c r="I1017">
        <v>1013</v>
      </c>
      <c r="J1017" t="s">
        <v>2</v>
      </c>
      <c r="K1017" s="1">
        <v>38639</v>
      </c>
      <c r="L1017" t="s">
        <v>10</v>
      </c>
      <c r="M1017" s="3">
        <v>26</v>
      </c>
      <c r="N1017" s="2">
        <v>79.311492307621293</v>
      </c>
    </row>
    <row r="1018" spans="9:14" x14ac:dyDescent="0.15">
      <c r="I1018">
        <v>1014</v>
      </c>
      <c r="J1018" t="s">
        <v>7</v>
      </c>
      <c r="K1018" s="1">
        <v>38694</v>
      </c>
      <c r="L1018" t="s">
        <v>11</v>
      </c>
      <c r="M1018" s="3">
        <v>8</v>
      </c>
      <c r="N1018" s="2">
        <v>26.096472599703908</v>
      </c>
    </row>
    <row r="1019" spans="9:14" x14ac:dyDescent="0.15">
      <c r="I1019">
        <v>1015</v>
      </c>
      <c r="J1019" t="s">
        <v>6</v>
      </c>
      <c r="K1019" s="1">
        <v>38749</v>
      </c>
      <c r="L1019" t="s">
        <v>9</v>
      </c>
      <c r="M1019" s="3">
        <v>8</v>
      </c>
      <c r="N1019" s="2">
        <v>26.08199028619465</v>
      </c>
    </row>
    <row r="1020" spans="9:14" x14ac:dyDescent="0.15">
      <c r="I1020">
        <v>1016</v>
      </c>
      <c r="J1020" t="s">
        <v>7</v>
      </c>
      <c r="K1020" s="1">
        <v>39002</v>
      </c>
      <c r="L1020" t="s">
        <v>11</v>
      </c>
      <c r="M1020" s="3">
        <v>62</v>
      </c>
      <c r="N1020" s="2">
        <v>187.69110116385426</v>
      </c>
    </row>
    <row r="1021" spans="9:14" x14ac:dyDescent="0.15">
      <c r="I1021">
        <v>1017</v>
      </c>
      <c r="J1021" t="s">
        <v>0</v>
      </c>
      <c r="K1021" s="1">
        <v>38947</v>
      </c>
      <c r="L1021" t="s">
        <v>11</v>
      </c>
      <c r="M1021" s="3">
        <v>-9</v>
      </c>
      <c r="N1021" s="2">
        <v>-24.819632815121537</v>
      </c>
    </row>
    <row r="1022" spans="9:14" x14ac:dyDescent="0.15">
      <c r="I1022">
        <v>1018</v>
      </c>
      <c r="J1022" t="s">
        <v>4</v>
      </c>
      <c r="K1022" s="1">
        <v>38221</v>
      </c>
      <c r="L1022" t="s">
        <v>9</v>
      </c>
      <c r="M1022" s="3">
        <v>55</v>
      </c>
      <c r="N1022" s="2">
        <v>166.81971361139639</v>
      </c>
    </row>
    <row r="1023" spans="9:14" x14ac:dyDescent="0.15">
      <c r="I1023">
        <v>1019</v>
      </c>
      <c r="J1023" t="s">
        <v>3</v>
      </c>
      <c r="K1023" s="1">
        <v>38232</v>
      </c>
      <c r="L1023" t="s">
        <v>13</v>
      </c>
      <c r="M1023" s="3">
        <v>71</v>
      </c>
      <c r="N1023" s="2">
        <v>215.35336056441088</v>
      </c>
    </row>
    <row r="1024" spans="9:14" x14ac:dyDescent="0.15">
      <c r="I1024">
        <v>1020</v>
      </c>
      <c r="J1024" t="s">
        <v>5</v>
      </c>
      <c r="K1024" s="1">
        <v>38793</v>
      </c>
      <c r="L1024" t="s">
        <v>12</v>
      </c>
      <c r="M1024" s="3">
        <v>5</v>
      </c>
      <c r="N1024" s="2">
        <v>17.428217544434208</v>
      </c>
    </row>
    <row r="1025" spans="9:14" x14ac:dyDescent="0.15">
      <c r="I1025">
        <v>1021</v>
      </c>
      <c r="J1025" t="s">
        <v>2</v>
      </c>
      <c r="K1025" s="1">
        <v>38595</v>
      </c>
      <c r="L1025" t="s">
        <v>9</v>
      </c>
      <c r="M1025" s="3">
        <v>28</v>
      </c>
      <c r="N1025" s="2">
        <v>86.322091823923344</v>
      </c>
    </row>
    <row r="1026" spans="9:14" x14ac:dyDescent="0.15">
      <c r="I1026">
        <v>1022</v>
      </c>
      <c r="J1026" t="s">
        <v>5</v>
      </c>
      <c r="K1026" s="1">
        <v>38848</v>
      </c>
      <c r="L1026" t="s">
        <v>13</v>
      </c>
      <c r="M1026" s="3">
        <v>95</v>
      </c>
      <c r="N1026" s="2">
        <v>286.92674877229024</v>
      </c>
    </row>
    <row r="1027" spans="9:14" x14ac:dyDescent="0.15">
      <c r="I1027">
        <v>1023</v>
      </c>
      <c r="J1027" t="s">
        <v>8</v>
      </c>
      <c r="K1027" s="1">
        <v>38617</v>
      </c>
      <c r="L1027" t="s">
        <v>11</v>
      </c>
      <c r="M1027" s="3">
        <v>56</v>
      </c>
      <c r="N1027" s="2">
        <v>169.66853559743345</v>
      </c>
    </row>
    <row r="1028" spans="9:14" x14ac:dyDescent="0.15">
      <c r="I1028">
        <v>1024</v>
      </c>
      <c r="J1028" t="s">
        <v>7</v>
      </c>
      <c r="K1028" s="1">
        <v>38650</v>
      </c>
      <c r="L1028" t="s">
        <v>9</v>
      </c>
      <c r="M1028" s="3">
        <v>79</v>
      </c>
      <c r="N1028" s="2">
        <v>238.71622982310416</v>
      </c>
    </row>
    <row r="1029" spans="9:14" x14ac:dyDescent="0.15">
      <c r="I1029">
        <v>1025</v>
      </c>
      <c r="J1029" t="s">
        <v>7</v>
      </c>
      <c r="K1029" s="1">
        <v>38562</v>
      </c>
      <c r="L1029" t="s">
        <v>11</v>
      </c>
      <c r="M1029" s="3">
        <v>10</v>
      </c>
      <c r="N1029" s="2">
        <v>32.241149527753471</v>
      </c>
    </row>
    <row r="1030" spans="9:14" x14ac:dyDescent="0.15">
      <c r="I1030">
        <v>1026</v>
      </c>
      <c r="J1030" t="s">
        <v>3</v>
      </c>
      <c r="K1030" s="1">
        <v>38254</v>
      </c>
      <c r="L1030" t="s">
        <v>13</v>
      </c>
      <c r="M1030" s="3">
        <v>69</v>
      </c>
      <c r="N1030" s="2">
        <v>208.61631773052886</v>
      </c>
    </row>
    <row r="1031" spans="9:14" x14ac:dyDescent="0.15">
      <c r="I1031">
        <v>1027</v>
      </c>
      <c r="J1031" t="s">
        <v>2</v>
      </c>
      <c r="K1031" s="1">
        <v>38793</v>
      </c>
      <c r="L1031" t="s">
        <v>10</v>
      </c>
      <c r="M1031" s="3">
        <v>15</v>
      </c>
      <c r="N1031" s="2">
        <v>46.772430431730463</v>
      </c>
    </row>
    <row r="1032" spans="9:14" x14ac:dyDescent="0.15">
      <c r="I1032">
        <v>1028</v>
      </c>
      <c r="J1032" t="s">
        <v>7</v>
      </c>
      <c r="K1032" s="1">
        <v>38749</v>
      </c>
      <c r="L1032" t="s">
        <v>11</v>
      </c>
      <c r="M1032" s="3">
        <v>0</v>
      </c>
      <c r="N1032" s="2">
        <v>1.7760594332285693</v>
      </c>
    </row>
    <row r="1033" spans="9:14" x14ac:dyDescent="0.15">
      <c r="I1033">
        <v>1029</v>
      </c>
      <c r="J1033" t="s">
        <v>7</v>
      </c>
      <c r="K1033" s="1">
        <v>38540</v>
      </c>
      <c r="L1033" t="s">
        <v>13</v>
      </c>
      <c r="M1033" s="3">
        <v>78</v>
      </c>
      <c r="N1033" s="2">
        <v>236.10178950758817</v>
      </c>
    </row>
    <row r="1034" spans="9:14" x14ac:dyDescent="0.15">
      <c r="I1034">
        <v>1030</v>
      </c>
      <c r="J1034" t="s">
        <v>3</v>
      </c>
      <c r="K1034" s="1">
        <v>38496</v>
      </c>
      <c r="L1034" t="s">
        <v>12</v>
      </c>
      <c r="M1034" s="3">
        <v>89</v>
      </c>
      <c r="N1034" s="2">
        <v>268.45127891867156</v>
      </c>
    </row>
    <row r="1035" spans="9:14" x14ac:dyDescent="0.15">
      <c r="I1035">
        <v>1031</v>
      </c>
      <c r="J1035" t="s">
        <v>7</v>
      </c>
      <c r="K1035" s="1">
        <v>38397</v>
      </c>
      <c r="L1035" t="s">
        <v>12</v>
      </c>
      <c r="M1035" s="3">
        <v>94</v>
      </c>
      <c r="N1035" s="2">
        <v>284.11176896611153</v>
      </c>
    </row>
    <row r="1036" spans="9:14" x14ac:dyDescent="0.15">
      <c r="I1036">
        <v>1032</v>
      </c>
      <c r="J1036" t="s">
        <v>8</v>
      </c>
      <c r="K1036" s="1">
        <v>38034</v>
      </c>
      <c r="L1036" t="s">
        <v>12</v>
      </c>
      <c r="M1036" s="3">
        <v>-5</v>
      </c>
      <c r="N1036" s="2">
        <v>-13.090742445919402</v>
      </c>
    </row>
    <row r="1037" spans="9:14" x14ac:dyDescent="0.15">
      <c r="I1037">
        <v>1033</v>
      </c>
      <c r="J1037" t="s">
        <v>3</v>
      </c>
      <c r="K1037" s="1">
        <v>39057</v>
      </c>
      <c r="L1037" t="s">
        <v>10</v>
      </c>
      <c r="M1037" s="3">
        <v>42</v>
      </c>
      <c r="N1037" s="2">
        <v>127.95167625422781</v>
      </c>
    </row>
    <row r="1038" spans="9:14" x14ac:dyDescent="0.15">
      <c r="I1038">
        <v>1034</v>
      </c>
      <c r="J1038" t="s">
        <v>5</v>
      </c>
      <c r="K1038" s="1">
        <v>38980</v>
      </c>
      <c r="L1038" t="s">
        <v>11</v>
      </c>
      <c r="M1038" s="3">
        <v>9</v>
      </c>
      <c r="N1038" s="2">
        <v>29.027293052396654</v>
      </c>
    </row>
    <row r="1039" spans="9:14" x14ac:dyDescent="0.15">
      <c r="I1039">
        <v>1035</v>
      </c>
      <c r="J1039" t="s">
        <v>5</v>
      </c>
      <c r="K1039" s="1">
        <v>38452</v>
      </c>
      <c r="L1039" t="s">
        <v>9</v>
      </c>
      <c r="M1039" s="3">
        <v>8</v>
      </c>
      <c r="N1039" s="2">
        <v>26.399425452966565</v>
      </c>
    </row>
    <row r="1040" spans="9:14" x14ac:dyDescent="0.15">
      <c r="I1040">
        <v>1036</v>
      </c>
      <c r="J1040" t="s">
        <v>8</v>
      </c>
      <c r="K1040" s="1">
        <v>38210</v>
      </c>
      <c r="L1040" t="s">
        <v>9</v>
      </c>
      <c r="M1040" s="3">
        <v>69</v>
      </c>
      <c r="N1040" s="2">
        <v>209.14573718458519</v>
      </c>
    </row>
    <row r="1041" spans="9:14" x14ac:dyDescent="0.15">
      <c r="I1041">
        <v>1037</v>
      </c>
      <c r="J1041" t="s">
        <v>1</v>
      </c>
      <c r="K1041" s="1">
        <v>39002</v>
      </c>
      <c r="L1041" t="s">
        <v>12</v>
      </c>
      <c r="M1041" s="3">
        <v>2</v>
      </c>
      <c r="N1041" s="2">
        <v>7.7270735524440131</v>
      </c>
    </row>
    <row r="1042" spans="9:14" x14ac:dyDescent="0.15">
      <c r="I1042">
        <v>1038</v>
      </c>
      <c r="J1042" t="s">
        <v>7</v>
      </c>
      <c r="K1042" s="1">
        <v>38254</v>
      </c>
      <c r="L1042" t="s">
        <v>11</v>
      </c>
      <c r="M1042" s="3">
        <v>3</v>
      </c>
      <c r="N1042" s="2">
        <v>10.487455049777733</v>
      </c>
    </row>
    <row r="1043" spans="9:14" x14ac:dyDescent="0.15">
      <c r="I1043">
        <v>1039</v>
      </c>
      <c r="J1043" t="s">
        <v>5</v>
      </c>
      <c r="K1043" s="1">
        <v>38518</v>
      </c>
      <c r="L1043" t="s">
        <v>13</v>
      </c>
      <c r="M1043" s="3">
        <v>76</v>
      </c>
      <c r="N1043" s="2">
        <v>230.14134634452847</v>
      </c>
    </row>
    <row r="1044" spans="9:14" x14ac:dyDescent="0.15">
      <c r="I1044">
        <v>1040</v>
      </c>
      <c r="J1044" t="s">
        <v>1</v>
      </c>
      <c r="K1044" s="1">
        <v>38166</v>
      </c>
      <c r="L1044" t="s">
        <v>11</v>
      </c>
      <c r="M1044" s="3">
        <v>-7</v>
      </c>
      <c r="N1044" s="2">
        <v>-18.434662066971001</v>
      </c>
    </row>
    <row r="1045" spans="9:14" x14ac:dyDescent="0.15">
      <c r="I1045">
        <v>1041</v>
      </c>
      <c r="J1045" t="s">
        <v>2</v>
      </c>
      <c r="K1045" s="1">
        <v>38903</v>
      </c>
      <c r="L1045" t="s">
        <v>12</v>
      </c>
      <c r="M1045" s="3">
        <v>24</v>
      </c>
      <c r="N1045" s="2">
        <v>74.040343042743388</v>
      </c>
    </row>
    <row r="1046" spans="9:14" x14ac:dyDescent="0.15">
      <c r="I1046">
        <v>1042</v>
      </c>
      <c r="J1046" t="s">
        <v>0</v>
      </c>
      <c r="K1046" s="1">
        <v>38969</v>
      </c>
      <c r="L1046" t="s">
        <v>9</v>
      </c>
      <c r="M1046" s="3">
        <v>35</v>
      </c>
      <c r="N1046" s="2">
        <v>106.66944991477989</v>
      </c>
    </row>
    <row r="1047" spans="9:14" x14ac:dyDescent="0.15">
      <c r="I1047">
        <v>1043</v>
      </c>
      <c r="J1047" t="s">
        <v>7</v>
      </c>
      <c r="K1047" s="1">
        <v>38067</v>
      </c>
      <c r="L1047" t="s">
        <v>9</v>
      </c>
      <c r="M1047" s="3">
        <v>23</v>
      </c>
      <c r="N1047" s="2">
        <v>71.099513118305453</v>
      </c>
    </row>
    <row r="1048" spans="9:14" x14ac:dyDescent="0.15">
      <c r="I1048">
        <v>1044</v>
      </c>
      <c r="J1048" t="s">
        <v>4</v>
      </c>
      <c r="K1048" s="1">
        <v>38837</v>
      </c>
      <c r="L1048" t="s">
        <v>11</v>
      </c>
      <c r="M1048" s="3">
        <v>32</v>
      </c>
      <c r="N1048" s="2">
        <v>97.982599723305</v>
      </c>
    </row>
    <row r="1049" spans="9:14" x14ac:dyDescent="0.15">
      <c r="I1049">
        <v>1045</v>
      </c>
      <c r="J1049" t="s">
        <v>1</v>
      </c>
      <c r="K1049" s="1">
        <v>38232</v>
      </c>
      <c r="L1049" t="s">
        <v>12</v>
      </c>
      <c r="M1049" s="3">
        <v>46</v>
      </c>
      <c r="N1049" s="2">
        <v>139.82203886104327</v>
      </c>
    </row>
    <row r="1050" spans="9:14" x14ac:dyDescent="0.15">
      <c r="I1050">
        <v>1046</v>
      </c>
      <c r="J1050" t="s">
        <v>7</v>
      </c>
      <c r="K1050" s="1">
        <v>38023</v>
      </c>
      <c r="L1050" t="s">
        <v>10</v>
      </c>
      <c r="M1050" s="3">
        <v>28</v>
      </c>
      <c r="N1050" s="2">
        <v>85.913586896960894</v>
      </c>
    </row>
    <row r="1051" spans="9:14" x14ac:dyDescent="0.15">
      <c r="I1051">
        <v>1047</v>
      </c>
      <c r="J1051" t="s">
        <v>7</v>
      </c>
      <c r="K1051" s="1">
        <v>38386</v>
      </c>
      <c r="L1051" t="s">
        <v>13</v>
      </c>
      <c r="M1051" s="3">
        <v>58</v>
      </c>
      <c r="N1051" s="2">
        <v>176.38262351251041</v>
      </c>
    </row>
    <row r="1052" spans="9:14" x14ac:dyDescent="0.15">
      <c r="I1052">
        <v>1048</v>
      </c>
      <c r="J1052" t="s">
        <v>5</v>
      </c>
      <c r="K1052" s="1">
        <v>38672</v>
      </c>
      <c r="L1052" t="s">
        <v>10</v>
      </c>
      <c r="M1052" s="3">
        <v>19</v>
      </c>
      <c r="N1052" s="2">
        <v>59.083968230358913</v>
      </c>
    </row>
    <row r="1053" spans="9:14" x14ac:dyDescent="0.15">
      <c r="I1053">
        <v>1049</v>
      </c>
      <c r="J1053" t="s">
        <v>2</v>
      </c>
      <c r="K1053" s="1">
        <v>38210</v>
      </c>
      <c r="L1053" t="s">
        <v>10</v>
      </c>
      <c r="M1053" s="3">
        <v>79</v>
      </c>
      <c r="N1053" s="2">
        <v>238.63617965265877</v>
      </c>
    </row>
    <row r="1054" spans="9:14" x14ac:dyDescent="0.15">
      <c r="I1054">
        <v>1050</v>
      </c>
      <c r="J1054" t="s">
        <v>8</v>
      </c>
      <c r="K1054" s="1">
        <v>38331</v>
      </c>
      <c r="L1054" t="s">
        <v>12</v>
      </c>
      <c r="M1054" s="3">
        <v>31</v>
      </c>
      <c r="N1054" s="2">
        <v>94.124548214467538</v>
      </c>
    </row>
    <row r="1055" spans="9:14" x14ac:dyDescent="0.15">
      <c r="I1055">
        <v>1051</v>
      </c>
      <c r="J1055" t="s">
        <v>7</v>
      </c>
      <c r="K1055" s="1">
        <v>38672</v>
      </c>
      <c r="L1055" t="s">
        <v>11</v>
      </c>
      <c r="M1055" s="3">
        <v>4</v>
      </c>
      <c r="N1055" s="2">
        <v>14.292798170188892</v>
      </c>
    </row>
    <row r="1056" spans="9:14" x14ac:dyDescent="0.15">
      <c r="I1056">
        <v>1052</v>
      </c>
      <c r="J1056" t="s">
        <v>2</v>
      </c>
      <c r="K1056" s="1">
        <v>38804</v>
      </c>
      <c r="L1056" t="s">
        <v>9</v>
      </c>
      <c r="M1056" s="3">
        <v>91</v>
      </c>
      <c r="N1056" s="2">
        <v>275.5094232943423</v>
      </c>
    </row>
    <row r="1057" spans="9:14" x14ac:dyDescent="0.15">
      <c r="I1057">
        <v>1053</v>
      </c>
      <c r="J1057" t="s">
        <v>3</v>
      </c>
      <c r="K1057" s="1">
        <v>38518</v>
      </c>
      <c r="L1057" t="s">
        <v>10</v>
      </c>
      <c r="M1057" s="3">
        <v>51</v>
      </c>
      <c r="N1057" s="2">
        <v>154.74630946716462</v>
      </c>
    </row>
    <row r="1058" spans="9:14" x14ac:dyDescent="0.15">
      <c r="I1058">
        <v>1054</v>
      </c>
      <c r="J1058" t="s">
        <v>5</v>
      </c>
      <c r="K1058" s="1">
        <v>38001</v>
      </c>
      <c r="L1058" t="s">
        <v>11</v>
      </c>
      <c r="M1058" s="3">
        <v>2</v>
      </c>
      <c r="N1058" s="2">
        <v>8.3443048208269879</v>
      </c>
    </row>
    <row r="1059" spans="9:14" x14ac:dyDescent="0.15">
      <c r="I1059">
        <v>1055</v>
      </c>
      <c r="J1059" t="s">
        <v>0</v>
      </c>
      <c r="K1059" s="1">
        <v>38540</v>
      </c>
      <c r="L1059" t="s">
        <v>13</v>
      </c>
      <c r="M1059" s="3">
        <v>42</v>
      </c>
      <c r="N1059" s="2">
        <v>127.68402675435583</v>
      </c>
    </row>
    <row r="1060" spans="9:14" x14ac:dyDescent="0.15">
      <c r="I1060">
        <v>1056</v>
      </c>
      <c r="J1060" t="s">
        <v>8</v>
      </c>
      <c r="K1060" s="1">
        <v>38309</v>
      </c>
      <c r="L1060" t="s">
        <v>10</v>
      </c>
      <c r="M1060" s="3">
        <v>57</v>
      </c>
      <c r="N1060" s="2">
        <v>173.09988607692904</v>
      </c>
    </row>
    <row r="1061" spans="9:14" x14ac:dyDescent="0.15">
      <c r="I1061">
        <v>1057</v>
      </c>
      <c r="J1061" t="s">
        <v>2</v>
      </c>
      <c r="K1061" s="1">
        <v>38254</v>
      </c>
      <c r="L1061" t="s">
        <v>9</v>
      </c>
      <c r="M1061" s="3">
        <v>63</v>
      </c>
      <c r="N1061" s="2">
        <v>190.20945346469671</v>
      </c>
    </row>
    <row r="1062" spans="9:14" x14ac:dyDescent="0.15">
      <c r="I1062">
        <v>1058</v>
      </c>
      <c r="J1062" t="s">
        <v>8</v>
      </c>
      <c r="K1062" s="1">
        <v>38111</v>
      </c>
      <c r="L1062" t="s">
        <v>12</v>
      </c>
      <c r="M1062" s="3">
        <v>37</v>
      </c>
      <c r="N1062" s="2">
        <v>112.97090107811077</v>
      </c>
    </row>
    <row r="1063" spans="9:14" x14ac:dyDescent="0.15">
      <c r="I1063">
        <v>1059</v>
      </c>
      <c r="J1063" t="s">
        <v>8</v>
      </c>
      <c r="K1063" s="1">
        <v>38056</v>
      </c>
      <c r="L1063" t="s">
        <v>10</v>
      </c>
      <c r="M1063" s="3">
        <v>30</v>
      </c>
      <c r="N1063" s="2">
        <v>92.612099918838155</v>
      </c>
    </row>
    <row r="1064" spans="9:14" x14ac:dyDescent="0.15">
      <c r="I1064">
        <v>1060</v>
      </c>
      <c r="J1064" t="s">
        <v>3</v>
      </c>
      <c r="K1064" s="1">
        <v>38804</v>
      </c>
      <c r="L1064" t="s">
        <v>9</v>
      </c>
      <c r="M1064" s="3">
        <v>31</v>
      </c>
      <c r="N1064" s="2">
        <v>95.22083891239123</v>
      </c>
    </row>
    <row r="1065" spans="9:14" x14ac:dyDescent="0.15">
      <c r="I1065">
        <v>1061</v>
      </c>
      <c r="J1065" t="s">
        <v>1</v>
      </c>
      <c r="K1065" s="1">
        <v>38056</v>
      </c>
      <c r="L1065" t="s">
        <v>11</v>
      </c>
      <c r="M1065" s="3">
        <v>55</v>
      </c>
      <c r="N1065" s="2">
        <v>167.32540465961139</v>
      </c>
    </row>
    <row r="1066" spans="9:14" x14ac:dyDescent="0.15">
      <c r="I1066">
        <v>1062</v>
      </c>
      <c r="J1066" t="s">
        <v>0</v>
      </c>
      <c r="K1066" s="1">
        <v>38705</v>
      </c>
      <c r="L1066" t="s">
        <v>11</v>
      </c>
      <c r="M1066" s="3">
        <v>-5</v>
      </c>
      <c r="N1066" s="2">
        <v>-12.643881441117404</v>
      </c>
    </row>
    <row r="1067" spans="9:14" x14ac:dyDescent="0.15">
      <c r="I1067">
        <v>1063</v>
      </c>
      <c r="J1067" t="s">
        <v>4</v>
      </c>
      <c r="K1067" s="1">
        <v>38100</v>
      </c>
      <c r="L1067" t="s">
        <v>10</v>
      </c>
      <c r="M1067" s="3">
        <v>28</v>
      </c>
      <c r="N1067" s="2">
        <v>85.460904685258157</v>
      </c>
    </row>
    <row r="1068" spans="9:14" x14ac:dyDescent="0.15">
      <c r="I1068">
        <v>1064</v>
      </c>
      <c r="J1068" t="s">
        <v>5</v>
      </c>
      <c r="K1068" s="1">
        <v>38584</v>
      </c>
      <c r="L1068" t="s">
        <v>11</v>
      </c>
      <c r="M1068" s="3">
        <v>93</v>
      </c>
      <c r="N1068" s="2">
        <v>280.15032356040319</v>
      </c>
    </row>
    <row r="1069" spans="9:14" x14ac:dyDescent="0.15">
      <c r="I1069">
        <v>1065</v>
      </c>
      <c r="J1069" t="s">
        <v>0</v>
      </c>
      <c r="K1069" s="1">
        <v>38639</v>
      </c>
      <c r="L1069" t="s">
        <v>13</v>
      </c>
      <c r="M1069" s="3">
        <v>13</v>
      </c>
      <c r="N1069" s="2">
        <v>40.969412971677201</v>
      </c>
    </row>
    <row r="1070" spans="9:14" x14ac:dyDescent="0.15">
      <c r="I1070">
        <v>1066</v>
      </c>
      <c r="J1070" t="s">
        <v>8</v>
      </c>
      <c r="K1070" s="1">
        <v>38782</v>
      </c>
      <c r="L1070" t="s">
        <v>9</v>
      </c>
      <c r="M1070" s="3">
        <v>94</v>
      </c>
      <c r="N1070" s="2">
        <v>283.90021520553751</v>
      </c>
    </row>
    <row r="1071" spans="9:14" x14ac:dyDescent="0.15">
      <c r="I1071">
        <v>1067</v>
      </c>
      <c r="J1071" t="s">
        <v>0</v>
      </c>
      <c r="K1071" s="1">
        <v>38430</v>
      </c>
      <c r="L1071" t="s">
        <v>9</v>
      </c>
      <c r="M1071" s="3">
        <v>1</v>
      </c>
      <c r="N1071" s="2">
        <v>4.8568701800652914</v>
      </c>
    </row>
    <row r="1072" spans="9:14" x14ac:dyDescent="0.15">
      <c r="I1072">
        <v>1068</v>
      </c>
      <c r="J1072" t="s">
        <v>7</v>
      </c>
      <c r="K1072" s="1">
        <v>38628</v>
      </c>
      <c r="L1072" t="s">
        <v>9</v>
      </c>
      <c r="M1072" s="3">
        <v>5</v>
      </c>
      <c r="N1072" s="2">
        <v>16.493067805841463</v>
      </c>
    </row>
    <row r="1073" spans="9:14" x14ac:dyDescent="0.15">
      <c r="I1073">
        <v>1069</v>
      </c>
      <c r="J1073" t="s">
        <v>2</v>
      </c>
      <c r="K1073" s="1">
        <v>38870</v>
      </c>
      <c r="L1073" t="s">
        <v>12</v>
      </c>
      <c r="M1073" s="3">
        <v>60</v>
      </c>
      <c r="N1073" s="2">
        <v>181.32960345577825</v>
      </c>
    </row>
    <row r="1074" spans="9:14" x14ac:dyDescent="0.15">
      <c r="I1074">
        <v>1070</v>
      </c>
      <c r="J1074" t="s">
        <v>3</v>
      </c>
      <c r="K1074" s="1">
        <v>38188</v>
      </c>
      <c r="L1074" t="s">
        <v>10</v>
      </c>
      <c r="M1074" s="3">
        <v>67</v>
      </c>
      <c r="N1074" s="2">
        <v>203.02085582320817</v>
      </c>
    </row>
    <row r="1075" spans="9:14" x14ac:dyDescent="0.15">
      <c r="I1075">
        <v>1071</v>
      </c>
      <c r="J1075" t="s">
        <v>3</v>
      </c>
      <c r="K1075" s="1">
        <v>38331</v>
      </c>
      <c r="L1075" t="s">
        <v>9</v>
      </c>
      <c r="M1075" s="3">
        <v>87</v>
      </c>
      <c r="N1075" s="2">
        <v>263.51929625786306</v>
      </c>
    </row>
    <row r="1076" spans="9:14" x14ac:dyDescent="0.15">
      <c r="I1076">
        <v>1072</v>
      </c>
      <c r="J1076" t="s">
        <v>3</v>
      </c>
      <c r="K1076" s="1">
        <v>38309</v>
      </c>
      <c r="L1076" t="s">
        <v>12</v>
      </c>
      <c r="M1076" s="3">
        <v>53</v>
      </c>
      <c r="N1076" s="2">
        <v>161.06925467832338</v>
      </c>
    </row>
    <row r="1077" spans="9:14" x14ac:dyDescent="0.15">
      <c r="I1077">
        <v>1073</v>
      </c>
      <c r="J1077" t="s">
        <v>0</v>
      </c>
      <c r="K1077" s="1">
        <v>38573</v>
      </c>
      <c r="L1077" t="s">
        <v>10</v>
      </c>
      <c r="M1077" s="3">
        <v>74</v>
      </c>
      <c r="N1077" s="2">
        <v>224.19731799549618</v>
      </c>
    </row>
    <row r="1078" spans="9:14" x14ac:dyDescent="0.15">
      <c r="I1078">
        <v>1074</v>
      </c>
      <c r="J1078" t="s">
        <v>8</v>
      </c>
      <c r="K1078" s="1">
        <v>39035</v>
      </c>
      <c r="L1078" t="s">
        <v>10</v>
      </c>
      <c r="M1078" s="3">
        <v>83</v>
      </c>
      <c r="N1078" s="2">
        <v>251.40105252927455</v>
      </c>
    </row>
    <row r="1079" spans="9:14" x14ac:dyDescent="0.15">
      <c r="I1079">
        <v>1075</v>
      </c>
      <c r="J1079" t="s">
        <v>7</v>
      </c>
      <c r="K1079" s="1">
        <v>38639</v>
      </c>
      <c r="L1079" t="s">
        <v>12</v>
      </c>
      <c r="M1079" s="3">
        <v>45</v>
      </c>
      <c r="N1079" s="2">
        <v>136.79350682205418</v>
      </c>
    </row>
    <row r="1080" spans="9:14" x14ac:dyDescent="0.15">
      <c r="I1080">
        <v>1076</v>
      </c>
      <c r="J1080" t="s">
        <v>0</v>
      </c>
      <c r="K1080" s="1">
        <v>38166</v>
      </c>
      <c r="L1080" t="s">
        <v>10</v>
      </c>
      <c r="M1080" s="3">
        <v>36</v>
      </c>
      <c r="N1080" s="2">
        <v>109.96021821591992</v>
      </c>
    </row>
    <row r="1081" spans="9:14" x14ac:dyDescent="0.15">
      <c r="I1081">
        <v>1077</v>
      </c>
      <c r="J1081" t="s">
        <v>3</v>
      </c>
      <c r="K1081" s="1">
        <v>38705</v>
      </c>
      <c r="L1081" t="s">
        <v>9</v>
      </c>
      <c r="M1081" s="3">
        <v>82</v>
      </c>
      <c r="N1081" s="2">
        <v>248.19651758376037</v>
      </c>
    </row>
    <row r="1082" spans="9:14" x14ac:dyDescent="0.15">
      <c r="I1082">
        <v>1078</v>
      </c>
      <c r="J1082" t="s">
        <v>6</v>
      </c>
      <c r="K1082" s="1">
        <v>38958</v>
      </c>
      <c r="L1082" t="s">
        <v>9</v>
      </c>
      <c r="M1082" s="3">
        <v>18</v>
      </c>
      <c r="N1082" s="2">
        <v>56.505060708421091</v>
      </c>
    </row>
    <row r="1083" spans="9:14" x14ac:dyDescent="0.15">
      <c r="I1083">
        <v>1079</v>
      </c>
      <c r="J1083" t="s">
        <v>5</v>
      </c>
      <c r="K1083" s="1">
        <v>38089</v>
      </c>
      <c r="L1083" t="s">
        <v>9</v>
      </c>
      <c r="M1083" s="3">
        <v>21</v>
      </c>
      <c r="N1083" s="2">
        <v>64.56759924886002</v>
      </c>
    </row>
    <row r="1084" spans="9:14" x14ac:dyDescent="0.15">
      <c r="I1084">
        <v>1080</v>
      </c>
      <c r="J1084" t="s">
        <v>2</v>
      </c>
      <c r="K1084" s="1">
        <v>38529</v>
      </c>
      <c r="L1084" t="s">
        <v>9</v>
      </c>
      <c r="M1084" s="3">
        <v>56</v>
      </c>
      <c r="N1084" s="2">
        <v>170.16525129894848</v>
      </c>
    </row>
    <row r="1085" spans="9:14" x14ac:dyDescent="0.15">
      <c r="I1085">
        <v>1081</v>
      </c>
      <c r="J1085" t="s">
        <v>7</v>
      </c>
      <c r="K1085" s="1">
        <v>38837</v>
      </c>
      <c r="L1085" t="s">
        <v>11</v>
      </c>
      <c r="M1085" s="3">
        <v>51</v>
      </c>
      <c r="N1085" s="2">
        <v>154.96390627719521</v>
      </c>
    </row>
    <row r="1086" spans="9:14" x14ac:dyDescent="0.15">
      <c r="I1086">
        <v>1082</v>
      </c>
      <c r="J1086" t="s">
        <v>1</v>
      </c>
      <c r="K1086" s="1">
        <v>38782</v>
      </c>
      <c r="L1086" t="s">
        <v>9</v>
      </c>
      <c r="M1086" s="3">
        <v>88</v>
      </c>
      <c r="N1086" s="2">
        <v>266.15496391241169</v>
      </c>
    </row>
    <row r="1087" spans="9:14" x14ac:dyDescent="0.15">
      <c r="I1087">
        <v>1083</v>
      </c>
      <c r="J1087" t="s">
        <v>5</v>
      </c>
      <c r="K1087" s="1">
        <v>38463</v>
      </c>
      <c r="L1087" t="s">
        <v>11</v>
      </c>
      <c r="M1087" s="3">
        <v>93</v>
      </c>
      <c r="N1087" s="2">
        <v>280.95785849203958</v>
      </c>
    </row>
    <row r="1088" spans="9:14" x14ac:dyDescent="0.15">
      <c r="I1088">
        <v>1084</v>
      </c>
      <c r="J1088" t="s">
        <v>6</v>
      </c>
      <c r="K1088" s="1">
        <v>38254</v>
      </c>
      <c r="L1088" t="s">
        <v>10</v>
      </c>
      <c r="M1088" s="3">
        <v>-4</v>
      </c>
      <c r="N1088" s="2">
        <v>-9.79509378079055</v>
      </c>
    </row>
    <row r="1089" spans="9:14" x14ac:dyDescent="0.15">
      <c r="I1089">
        <v>1085</v>
      </c>
      <c r="J1089" t="s">
        <v>2</v>
      </c>
      <c r="K1089" s="1">
        <v>38463</v>
      </c>
      <c r="L1089" t="s">
        <v>11</v>
      </c>
      <c r="M1089" s="3">
        <v>30</v>
      </c>
      <c r="N1089" s="2">
        <v>91.838519584417725</v>
      </c>
    </row>
    <row r="1090" spans="9:14" x14ac:dyDescent="0.15">
      <c r="I1090">
        <v>1086</v>
      </c>
      <c r="J1090" t="s">
        <v>0</v>
      </c>
      <c r="K1090" s="1">
        <v>38705</v>
      </c>
      <c r="L1090" t="s">
        <v>9</v>
      </c>
      <c r="M1090" s="3">
        <v>81</v>
      </c>
      <c r="N1090" s="2">
        <v>245.61829415980108</v>
      </c>
    </row>
    <row r="1091" spans="9:14" x14ac:dyDescent="0.15">
      <c r="I1091">
        <v>1087</v>
      </c>
      <c r="J1091" t="s">
        <v>2</v>
      </c>
      <c r="K1091" s="1">
        <v>38463</v>
      </c>
      <c r="L1091" t="s">
        <v>9</v>
      </c>
      <c r="M1091" s="3">
        <v>58</v>
      </c>
      <c r="N1091" s="2">
        <v>175.7935070061545</v>
      </c>
    </row>
    <row r="1092" spans="9:14" x14ac:dyDescent="0.15">
      <c r="I1092">
        <v>1088</v>
      </c>
      <c r="J1092" t="s">
        <v>6</v>
      </c>
      <c r="K1092" s="1">
        <v>37990</v>
      </c>
      <c r="L1092" t="s">
        <v>12</v>
      </c>
      <c r="M1092" s="3">
        <v>50</v>
      </c>
      <c r="N1092" s="2">
        <v>151.96180824733827</v>
      </c>
    </row>
    <row r="1093" spans="9:14" x14ac:dyDescent="0.15">
      <c r="I1093">
        <v>1089</v>
      </c>
      <c r="J1093" t="s">
        <v>4</v>
      </c>
      <c r="K1093" s="1">
        <v>38166</v>
      </c>
      <c r="L1093" t="s">
        <v>10</v>
      </c>
      <c r="M1093" s="3">
        <v>92</v>
      </c>
      <c r="N1093" s="2">
        <v>277.64731000872155</v>
      </c>
    </row>
    <row r="1094" spans="9:14" x14ac:dyDescent="0.15">
      <c r="I1094">
        <v>1090</v>
      </c>
      <c r="J1094" t="s">
        <v>6</v>
      </c>
      <c r="K1094" s="1">
        <v>39035</v>
      </c>
      <c r="L1094" t="s">
        <v>9</v>
      </c>
      <c r="M1094" s="3">
        <v>27</v>
      </c>
      <c r="N1094" s="2">
        <v>82.124904169698794</v>
      </c>
    </row>
    <row r="1095" spans="9:14" x14ac:dyDescent="0.15">
      <c r="I1095">
        <v>1091</v>
      </c>
      <c r="J1095" t="s">
        <v>4</v>
      </c>
      <c r="K1095" s="1">
        <v>38221</v>
      </c>
      <c r="L1095" t="s">
        <v>9</v>
      </c>
      <c r="M1095" s="3">
        <v>61</v>
      </c>
      <c r="N1095" s="2">
        <v>184.45390394551416</v>
      </c>
    </row>
    <row r="1096" spans="9:14" x14ac:dyDescent="0.15">
      <c r="I1096">
        <v>1092</v>
      </c>
      <c r="J1096" t="s">
        <v>2</v>
      </c>
      <c r="K1096" s="1">
        <v>38925</v>
      </c>
      <c r="L1096" t="s">
        <v>12</v>
      </c>
      <c r="M1096" s="3">
        <v>7</v>
      </c>
      <c r="N1096" s="2">
        <v>23.198272342782062</v>
      </c>
    </row>
    <row r="1097" spans="9:14" x14ac:dyDescent="0.15">
      <c r="I1097">
        <v>1093</v>
      </c>
      <c r="J1097" t="s">
        <v>8</v>
      </c>
      <c r="K1097" s="1">
        <v>38331</v>
      </c>
      <c r="L1097" t="s">
        <v>10</v>
      </c>
      <c r="M1097" s="3">
        <v>25</v>
      </c>
      <c r="N1097" s="2">
        <v>76.517978614258837</v>
      </c>
    </row>
    <row r="1098" spans="9:14" x14ac:dyDescent="0.15">
      <c r="I1098">
        <v>1094</v>
      </c>
      <c r="J1098" t="s">
        <v>6</v>
      </c>
      <c r="K1098" s="1">
        <v>38221</v>
      </c>
      <c r="L1098" t="s">
        <v>10</v>
      </c>
      <c r="M1098" s="3">
        <v>84</v>
      </c>
      <c r="N1098" s="2">
        <v>254.21310769001889</v>
      </c>
    </row>
    <row r="1099" spans="9:14" x14ac:dyDescent="0.15">
      <c r="I1099">
        <v>1095</v>
      </c>
      <c r="J1099" t="s">
        <v>8</v>
      </c>
      <c r="K1099" s="1">
        <v>38078</v>
      </c>
      <c r="L1099" t="s">
        <v>11</v>
      </c>
      <c r="M1099" s="3">
        <v>66</v>
      </c>
      <c r="N1099" s="2">
        <v>199.92451734594025</v>
      </c>
    </row>
    <row r="1100" spans="9:14" x14ac:dyDescent="0.15">
      <c r="I1100">
        <v>1096</v>
      </c>
      <c r="J1100" t="s">
        <v>5</v>
      </c>
      <c r="K1100" s="1">
        <v>38111</v>
      </c>
      <c r="L1100" t="s">
        <v>11</v>
      </c>
      <c r="M1100" s="3">
        <v>89</v>
      </c>
      <c r="N1100" s="2">
        <v>269.23471780277339</v>
      </c>
    </row>
    <row r="1101" spans="9:14" x14ac:dyDescent="0.15">
      <c r="I1101">
        <v>1097</v>
      </c>
      <c r="J1101" t="s">
        <v>1</v>
      </c>
      <c r="K1101" s="1">
        <v>38485</v>
      </c>
      <c r="L1101" t="s">
        <v>9</v>
      </c>
      <c r="M1101" s="3">
        <v>32</v>
      </c>
      <c r="N1101" s="2">
        <v>97.883310582745409</v>
      </c>
    </row>
    <row r="1102" spans="9:14" x14ac:dyDescent="0.15">
      <c r="I1102">
        <v>1098</v>
      </c>
      <c r="J1102" t="s">
        <v>1</v>
      </c>
      <c r="K1102" s="1">
        <v>38903</v>
      </c>
      <c r="L1102" t="s">
        <v>10</v>
      </c>
      <c r="M1102" s="3">
        <v>78</v>
      </c>
      <c r="N1102" s="2">
        <v>236.26032561473036</v>
      </c>
    </row>
    <row r="1103" spans="9:14" x14ac:dyDescent="0.15">
      <c r="I1103">
        <v>1099</v>
      </c>
      <c r="J1103" t="s">
        <v>5</v>
      </c>
      <c r="K1103" s="1">
        <v>38793</v>
      </c>
      <c r="L1103" t="s">
        <v>13</v>
      </c>
      <c r="M1103" s="3">
        <v>56</v>
      </c>
      <c r="N1103" s="2">
        <v>169.98666558680949</v>
      </c>
    </row>
    <row r="1104" spans="9:14" x14ac:dyDescent="0.15">
      <c r="I1104">
        <v>1100</v>
      </c>
      <c r="J1104" t="s">
        <v>2</v>
      </c>
      <c r="K1104" s="1">
        <v>39079</v>
      </c>
      <c r="L1104" t="s">
        <v>9</v>
      </c>
      <c r="M1104" s="3">
        <v>80</v>
      </c>
      <c r="N1104" s="2">
        <v>241.53786763068013</v>
      </c>
    </row>
    <row r="1105" spans="9:14" x14ac:dyDescent="0.15">
      <c r="I1105">
        <v>1101</v>
      </c>
      <c r="J1105" t="s">
        <v>7</v>
      </c>
      <c r="K1105" s="1">
        <v>38386</v>
      </c>
      <c r="L1105" t="s">
        <v>12</v>
      </c>
      <c r="M1105" s="3">
        <v>72</v>
      </c>
      <c r="N1105" s="2">
        <v>218.32896513434619</v>
      </c>
    </row>
    <row r="1106" spans="9:14" x14ac:dyDescent="0.15">
      <c r="I1106">
        <v>1102</v>
      </c>
      <c r="J1106" t="s">
        <v>4</v>
      </c>
      <c r="K1106" s="1">
        <v>38672</v>
      </c>
      <c r="L1106" t="s">
        <v>10</v>
      </c>
      <c r="M1106" s="3">
        <v>23</v>
      </c>
      <c r="N1106" s="2">
        <v>71.298686579104526</v>
      </c>
    </row>
    <row r="1107" spans="9:14" x14ac:dyDescent="0.15">
      <c r="I1107">
        <v>1103</v>
      </c>
      <c r="J1107" t="s">
        <v>7</v>
      </c>
      <c r="K1107" s="1">
        <v>38782</v>
      </c>
      <c r="L1107" t="s">
        <v>12</v>
      </c>
      <c r="M1107" s="3">
        <v>-2</v>
      </c>
      <c r="N1107" s="2">
        <v>-3.6886090441469834</v>
      </c>
    </row>
    <row r="1108" spans="9:14" x14ac:dyDescent="0.15">
      <c r="I1108">
        <v>1104</v>
      </c>
      <c r="J1108" t="s">
        <v>2</v>
      </c>
      <c r="K1108" s="1">
        <v>38265</v>
      </c>
      <c r="L1108" t="s">
        <v>10</v>
      </c>
      <c r="M1108" s="3">
        <v>81</v>
      </c>
      <c r="N1108" s="2">
        <v>245.36857839567088</v>
      </c>
    </row>
    <row r="1109" spans="9:14" x14ac:dyDescent="0.15">
      <c r="I1109">
        <v>1105</v>
      </c>
      <c r="J1109" t="s">
        <v>5</v>
      </c>
      <c r="K1109" s="1">
        <v>38661</v>
      </c>
      <c r="L1109" t="s">
        <v>13</v>
      </c>
      <c r="M1109" s="3">
        <v>-4</v>
      </c>
      <c r="N1109" s="2">
        <v>-10.626598892969428</v>
      </c>
    </row>
    <row r="1110" spans="9:14" x14ac:dyDescent="0.15">
      <c r="I1110">
        <v>1106</v>
      </c>
      <c r="J1110" t="s">
        <v>8</v>
      </c>
      <c r="K1110" s="1">
        <v>38353</v>
      </c>
      <c r="L1110" t="s">
        <v>12</v>
      </c>
      <c r="M1110" s="3">
        <v>81</v>
      </c>
      <c r="N1110" s="2">
        <v>245.47079100584946</v>
      </c>
    </row>
    <row r="1111" spans="9:14" x14ac:dyDescent="0.15">
      <c r="I1111">
        <v>1107</v>
      </c>
      <c r="J1111" t="s">
        <v>2</v>
      </c>
      <c r="K1111" s="1">
        <v>38056</v>
      </c>
      <c r="L1111" t="s">
        <v>13</v>
      </c>
      <c r="M1111" s="3">
        <v>-9</v>
      </c>
      <c r="N1111" s="2">
        <v>-24.901607770449246</v>
      </c>
    </row>
    <row r="1112" spans="9:14" x14ac:dyDescent="0.15">
      <c r="I1112">
        <v>1108</v>
      </c>
      <c r="J1112" t="s">
        <v>3</v>
      </c>
      <c r="K1112" s="1">
        <v>38419</v>
      </c>
      <c r="L1112" t="s">
        <v>11</v>
      </c>
      <c r="M1112" s="3">
        <v>67</v>
      </c>
      <c r="N1112" s="2">
        <v>203.3886615347389</v>
      </c>
    </row>
    <row r="1113" spans="9:14" x14ac:dyDescent="0.15">
      <c r="I1113">
        <v>1109</v>
      </c>
      <c r="J1113" t="s">
        <v>8</v>
      </c>
      <c r="K1113" s="1">
        <v>38386</v>
      </c>
      <c r="L1113" t="s">
        <v>12</v>
      </c>
      <c r="M1113" s="3">
        <v>27</v>
      </c>
      <c r="N1113" s="2">
        <v>83.259650238493791</v>
      </c>
    </row>
    <row r="1114" spans="9:14" x14ac:dyDescent="0.15">
      <c r="I1114">
        <v>1110</v>
      </c>
      <c r="J1114" t="s">
        <v>2</v>
      </c>
      <c r="K1114" s="1">
        <v>38782</v>
      </c>
      <c r="L1114" t="s">
        <v>12</v>
      </c>
      <c r="M1114" s="3">
        <v>-1</v>
      </c>
      <c r="N1114" s="2">
        <v>-1.4486502930593175</v>
      </c>
    </row>
    <row r="1115" spans="9:14" x14ac:dyDescent="0.15">
      <c r="I1115">
        <v>1111</v>
      </c>
      <c r="J1115" t="s">
        <v>6</v>
      </c>
      <c r="K1115" s="1">
        <v>38595</v>
      </c>
      <c r="L1115" t="s">
        <v>12</v>
      </c>
      <c r="M1115" s="3">
        <v>24</v>
      </c>
      <c r="N1115" s="2">
        <v>74.448442468444156</v>
      </c>
    </row>
    <row r="1116" spans="9:14" x14ac:dyDescent="0.15">
      <c r="I1116">
        <v>1112</v>
      </c>
      <c r="J1116" t="s">
        <v>3</v>
      </c>
      <c r="K1116" s="1">
        <v>38749</v>
      </c>
      <c r="L1116" t="s">
        <v>11</v>
      </c>
      <c r="M1116" s="3">
        <v>80</v>
      </c>
      <c r="N1116" s="2">
        <v>241.96811222876255</v>
      </c>
    </row>
    <row r="1117" spans="9:14" x14ac:dyDescent="0.15">
      <c r="I1117">
        <v>1113</v>
      </c>
      <c r="J1117" t="s">
        <v>4</v>
      </c>
      <c r="K1117" s="1">
        <v>38265</v>
      </c>
      <c r="L1117" t="s">
        <v>10</v>
      </c>
      <c r="M1117" s="3">
        <v>82</v>
      </c>
      <c r="N1117" s="2">
        <v>248.20917526875209</v>
      </c>
    </row>
    <row r="1118" spans="9:14" x14ac:dyDescent="0.15">
      <c r="I1118">
        <v>1114</v>
      </c>
      <c r="J1118" t="s">
        <v>0</v>
      </c>
      <c r="K1118" s="1">
        <v>38716</v>
      </c>
      <c r="L1118" t="s">
        <v>9</v>
      </c>
      <c r="M1118" s="3">
        <v>1</v>
      </c>
      <c r="N1118" s="2">
        <v>5.5518623429739176</v>
      </c>
    </row>
    <row r="1119" spans="9:14" x14ac:dyDescent="0.15">
      <c r="I1119">
        <v>1115</v>
      </c>
      <c r="J1119" t="s">
        <v>1</v>
      </c>
      <c r="K1119" s="1">
        <v>38089</v>
      </c>
      <c r="L1119" t="s">
        <v>9</v>
      </c>
      <c r="M1119" s="3">
        <v>11</v>
      </c>
      <c r="N1119" s="2">
        <v>35.277547883231819</v>
      </c>
    </row>
    <row r="1120" spans="9:14" x14ac:dyDescent="0.15">
      <c r="I1120">
        <v>1116</v>
      </c>
      <c r="J1120" t="s">
        <v>8</v>
      </c>
      <c r="K1120" s="1">
        <v>38914</v>
      </c>
      <c r="L1120" t="s">
        <v>12</v>
      </c>
      <c r="M1120" s="3">
        <v>12</v>
      </c>
      <c r="N1120" s="2">
        <v>37.331388811713445</v>
      </c>
    </row>
    <row r="1121" spans="9:14" x14ac:dyDescent="0.15">
      <c r="I1121">
        <v>1117</v>
      </c>
      <c r="J1121" t="s">
        <v>7</v>
      </c>
      <c r="K1121" s="1">
        <v>38331</v>
      </c>
      <c r="L1121" t="s">
        <v>11</v>
      </c>
      <c r="M1121" s="3">
        <v>54</v>
      </c>
      <c r="N1121" s="2">
        <v>164.38171569287022</v>
      </c>
    </row>
    <row r="1122" spans="9:14" x14ac:dyDescent="0.15">
      <c r="I1122">
        <v>1118</v>
      </c>
      <c r="J1122" t="s">
        <v>0</v>
      </c>
      <c r="K1122" s="1">
        <v>39024</v>
      </c>
      <c r="L1122" t="s">
        <v>12</v>
      </c>
      <c r="M1122" s="3">
        <v>78</v>
      </c>
      <c r="N1122" s="2">
        <v>236.65619273355256</v>
      </c>
    </row>
    <row r="1123" spans="9:14" x14ac:dyDescent="0.15">
      <c r="I1123">
        <v>1119</v>
      </c>
      <c r="J1123" t="s">
        <v>7</v>
      </c>
      <c r="K1123" s="1">
        <v>38023</v>
      </c>
      <c r="L1123" t="s">
        <v>12</v>
      </c>
      <c r="M1123" s="3">
        <v>-8</v>
      </c>
      <c r="N1123" s="2">
        <v>-21.770000035096253</v>
      </c>
    </row>
    <row r="1124" spans="9:14" x14ac:dyDescent="0.15">
      <c r="I1124">
        <v>1120</v>
      </c>
      <c r="J1124" t="s">
        <v>8</v>
      </c>
      <c r="K1124" s="1">
        <v>38034</v>
      </c>
      <c r="L1124" t="s">
        <v>11</v>
      </c>
      <c r="M1124" s="3">
        <v>6</v>
      </c>
      <c r="N1124" s="2">
        <v>19.844298491399009</v>
      </c>
    </row>
    <row r="1125" spans="9:14" x14ac:dyDescent="0.15">
      <c r="I1125">
        <v>1121</v>
      </c>
      <c r="J1125" t="s">
        <v>4</v>
      </c>
      <c r="K1125" s="1">
        <v>38265</v>
      </c>
      <c r="L1125" t="s">
        <v>9</v>
      </c>
      <c r="M1125" s="3">
        <v>30</v>
      </c>
      <c r="N1125" s="2">
        <v>91.748243472806891</v>
      </c>
    </row>
    <row r="1126" spans="9:14" x14ac:dyDescent="0.15">
      <c r="I1126">
        <v>1122</v>
      </c>
      <c r="J1126" t="s">
        <v>2</v>
      </c>
      <c r="K1126" s="1">
        <v>38749</v>
      </c>
      <c r="L1126" t="s">
        <v>10</v>
      </c>
      <c r="M1126" s="3">
        <v>55</v>
      </c>
      <c r="N1126" s="2">
        <v>166.81449022634519</v>
      </c>
    </row>
    <row r="1127" spans="9:14" x14ac:dyDescent="0.15">
      <c r="I1127">
        <v>1123</v>
      </c>
      <c r="J1127" t="s">
        <v>7</v>
      </c>
      <c r="K1127" s="1">
        <v>38804</v>
      </c>
      <c r="L1127" t="s">
        <v>11</v>
      </c>
      <c r="M1127" s="3">
        <v>53</v>
      </c>
      <c r="N1127" s="2">
        <v>161.24130416457103</v>
      </c>
    </row>
    <row r="1128" spans="9:14" x14ac:dyDescent="0.15">
      <c r="I1128">
        <v>1124</v>
      </c>
      <c r="J1128" t="s">
        <v>6</v>
      </c>
      <c r="K1128" s="1">
        <v>38397</v>
      </c>
      <c r="L1128" t="s">
        <v>12</v>
      </c>
      <c r="M1128" s="3">
        <v>29</v>
      </c>
      <c r="N1128" s="2">
        <v>88.931035912155679</v>
      </c>
    </row>
    <row r="1129" spans="9:14" x14ac:dyDescent="0.15">
      <c r="I1129">
        <v>1125</v>
      </c>
      <c r="J1129" t="s">
        <v>8</v>
      </c>
      <c r="K1129" s="1">
        <v>38089</v>
      </c>
      <c r="L1129" t="s">
        <v>10</v>
      </c>
      <c r="M1129" s="3">
        <v>75</v>
      </c>
      <c r="N1129" s="2">
        <v>227.03788190973427</v>
      </c>
    </row>
    <row r="1130" spans="9:14" x14ac:dyDescent="0.15">
      <c r="I1130">
        <v>1126</v>
      </c>
      <c r="J1130" t="s">
        <v>6</v>
      </c>
      <c r="K1130" s="1">
        <v>38320</v>
      </c>
      <c r="L1130" t="s">
        <v>9</v>
      </c>
      <c r="M1130" s="3">
        <v>78</v>
      </c>
      <c r="N1130" s="2">
        <v>235.68084148847547</v>
      </c>
    </row>
    <row r="1131" spans="9:14" x14ac:dyDescent="0.15">
      <c r="I1131">
        <v>1127</v>
      </c>
      <c r="J1131" t="s">
        <v>4</v>
      </c>
      <c r="K1131" s="1">
        <v>38980</v>
      </c>
      <c r="L1131" t="s">
        <v>9</v>
      </c>
      <c r="M1131" s="3">
        <v>6</v>
      </c>
      <c r="N1131" s="2">
        <v>20.386126115237083</v>
      </c>
    </row>
    <row r="1132" spans="9:14" x14ac:dyDescent="0.15">
      <c r="I1132">
        <v>1128</v>
      </c>
      <c r="J1132" t="s">
        <v>2</v>
      </c>
      <c r="K1132" s="1">
        <v>38562</v>
      </c>
      <c r="L1132" t="s">
        <v>10</v>
      </c>
      <c r="M1132" s="3">
        <v>57</v>
      </c>
      <c r="N1132" s="2">
        <v>172.66966829976792</v>
      </c>
    </row>
    <row r="1133" spans="9:14" x14ac:dyDescent="0.15">
      <c r="I1133">
        <v>1129</v>
      </c>
      <c r="J1133" t="s">
        <v>3</v>
      </c>
      <c r="K1133" s="1">
        <v>38452</v>
      </c>
      <c r="L1133" t="s">
        <v>11</v>
      </c>
      <c r="M1133" s="3">
        <v>35</v>
      </c>
      <c r="N1133" s="2">
        <v>106.52782470569326</v>
      </c>
    </row>
    <row r="1134" spans="9:14" x14ac:dyDescent="0.15">
      <c r="I1134">
        <v>1130</v>
      </c>
      <c r="J1134" t="s">
        <v>7</v>
      </c>
      <c r="K1134" s="1">
        <v>39035</v>
      </c>
      <c r="L1134" t="s">
        <v>11</v>
      </c>
      <c r="M1134" s="3">
        <v>72</v>
      </c>
      <c r="N1134" s="2">
        <v>217.3653218325137</v>
      </c>
    </row>
    <row r="1135" spans="9:14" x14ac:dyDescent="0.15">
      <c r="I1135">
        <v>1131</v>
      </c>
      <c r="J1135" t="s">
        <v>0</v>
      </c>
      <c r="K1135" s="1">
        <v>38155</v>
      </c>
      <c r="L1135" t="s">
        <v>12</v>
      </c>
      <c r="M1135" s="3">
        <v>79</v>
      </c>
      <c r="N1135" s="2">
        <v>238.31546571286182</v>
      </c>
    </row>
    <row r="1136" spans="9:14" x14ac:dyDescent="0.15">
      <c r="I1136">
        <v>1132</v>
      </c>
      <c r="J1136" t="s">
        <v>7</v>
      </c>
      <c r="K1136" s="1">
        <v>38463</v>
      </c>
      <c r="L1136" t="s">
        <v>10</v>
      </c>
      <c r="M1136" s="3">
        <v>89</v>
      </c>
      <c r="N1136" s="2">
        <v>269.0186169961018</v>
      </c>
    </row>
    <row r="1137" spans="9:14" x14ac:dyDescent="0.15">
      <c r="I1137">
        <v>1133</v>
      </c>
      <c r="J1137" t="s">
        <v>0</v>
      </c>
      <c r="K1137" s="1">
        <v>38474</v>
      </c>
      <c r="L1137" t="s">
        <v>11</v>
      </c>
      <c r="M1137" s="3">
        <v>84</v>
      </c>
      <c r="N1137" s="2">
        <v>252.58494974261927</v>
      </c>
    </row>
    <row r="1138" spans="9:14" x14ac:dyDescent="0.15">
      <c r="I1138">
        <v>1134</v>
      </c>
      <c r="J1138" t="s">
        <v>1</v>
      </c>
      <c r="K1138" s="1">
        <v>38969</v>
      </c>
      <c r="L1138" t="s">
        <v>12</v>
      </c>
      <c r="M1138" s="3">
        <v>43</v>
      </c>
      <c r="N1138" s="2">
        <v>130.65515170314279</v>
      </c>
    </row>
    <row r="1139" spans="9:14" x14ac:dyDescent="0.15">
      <c r="I1139">
        <v>1135</v>
      </c>
      <c r="J1139" t="s">
        <v>5</v>
      </c>
      <c r="K1139" s="1">
        <v>38738</v>
      </c>
      <c r="L1139" t="s">
        <v>10</v>
      </c>
      <c r="M1139" s="3">
        <v>-4</v>
      </c>
      <c r="N1139" s="2">
        <v>-9.965195042789297</v>
      </c>
    </row>
    <row r="1140" spans="9:14" x14ac:dyDescent="0.15">
      <c r="I1140">
        <v>1136</v>
      </c>
      <c r="J1140" t="s">
        <v>5</v>
      </c>
      <c r="K1140" s="1">
        <v>38364</v>
      </c>
      <c r="L1140" t="s">
        <v>9</v>
      </c>
      <c r="M1140" s="3">
        <v>51</v>
      </c>
      <c r="N1140" s="2">
        <v>154.66031011925435</v>
      </c>
    </row>
    <row r="1141" spans="9:14" x14ac:dyDescent="0.15">
      <c r="I1141">
        <v>1137</v>
      </c>
      <c r="J1141" t="s">
        <v>8</v>
      </c>
      <c r="K1141" s="1">
        <v>38859</v>
      </c>
      <c r="L1141" t="s">
        <v>10</v>
      </c>
      <c r="M1141" s="3">
        <v>17</v>
      </c>
      <c r="N1141" s="2">
        <v>53.072576846761372</v>
      </c>
    </row>
    <row r="1142" spans="9:14" x14ac:dyDescent="0.15">
      <c r="I1142">
        <v>1138</v>
      </c>
      <c r="J1142" t="s">
        <v>3</v>
      </c>
      <c r="K1142" s="1">
        <v>39035</v>
      </c>
      <c r="L1142" t="s">
        <v>12</v>
      </c>
      <c r="M1142" s="3">
        <v>51</v>
      </c>
      <c r="N1142" s="2">
        <v>155.23584686430669</v>
      </c>
    </row>
    <row r="1143" spans="9:14" x14ac:dyDescent="0.15">
      <c r="I1143">
        <v>1139</v>
      </c>
      <c r="J1143" t="s">
        <v>0</v>
      </c>
      <c r="K1143" s="1">
        <v>38782</v>
      </c>
      <c r="L1143" t="s">
        <v>11</v>
      </c>
      <c r="M1143" s="3">
        <v>14</v>
      </c>
      <c r="N1143" s="2">
        <v>44.195651647644979</v>
      </c>
    </row>
    <row r="1144" spans="9:14" x14ac:dyDescent="0.15">
      <c r="I1144">
        <v>1140</v>
      </c>
      <c r="J1144" t="s">
        <v>6</v>
      </c>
      <c r="K1144" s="1">
        <v>39068</v>
      </c>
      <c r="L1144" t="s">
        <v>10</v>
      </c>
      <c r="M1144" s="3">
        <v>60</v>
      </c>
      <c r="N1144" s="2">
        <v>181.87259058007896</v>
      </c>
    </row>
    <row r="1145" spans="9:14" x14ac:dyDescent="0.15">
      <c r="I1145">
        <v>1141</v>
      </c>
      <c r="J1145" t="s">
        <v>7</v>
      </c>
      <c r="K1145" s="1">
        <v>38309</v>
      </c>
      <c r="L1145" t="s">
        <v>12</v>
      </c>
      <c r="M1145" s="3">
        <v>-8</v>
      </c>
      <c r="N1145" s="2">
        <v>-21.981669305596434</v>
      </c>
    </row>
    <row r="1146" spans="9:14" x14ac:dyDescent="0.15">
      <c r="I1146">
        <v>1142</v>
      </c>
      <c r="J1146" t="s">
        <v>2</v>
      </c>
      <c r="K1146" s="1">
        <v>38529</v>
      </c>
      <c r="L1146" t="s">
        <v>9</v>
      </c>
      <c r="M1146" s="3">
        <v>95</v>
      </c>
      <c r="N1146" s="2">
        <v>286.66171116702549</v>
      </c>
    </row>
    <row r="1147" spans="9:14" x14ac:dyDescent="0.15">
      <c r="I1147">
        <v>1143</v>
      </c>
      <c r="J1147" t="s">
        <v>4</v>
      </c>
      <c r="K1147" s="1">
        <v>38749</v>
      </c>
      <c r="L1147" t="s">
        <v>9</v>
      </c>
      <c r="M1147" s="3">
        <v>66</v>
      </c>
      <c r="N1147" s="2">
        <v>199.59386136754239</v>
      </c>
    </row>
    <row r="1148" spans="9:14" x14ac:dyDescent="0.15">
      <c r="I1148">
        <v>1144</v>
      </c>
      <c r="J1148" t="s">
        <v>4</v>
      </c>
      <c r="K1148" s="1">
        <v>38342</v>
      </c>
      <c r="L1148" t="s">
        <v>10</v>
      </c>
      <c r="M1148" s="3">
        <v>77</v>
      </c>
      <c r="N1148" s="2">
        <v>232.62615004199816</v>
      </c>
    </row>
    <row r="1149" spans="9:14" x14ac:dyDescent="0.15">
      <c r="I1149">
        <v>1145</v>
      </c>
      <c r="J1149" t="s">
        <v>3</v>
      </c>
      <c r="K1149" s="1">
        <v>38331</v>
      </c>
      <c r="L1149" t="s">
        <v>11</v>
      </c>
      <c r="M1149" s="3">
        <v>65</v>
      </c>
      <c r="N1149" s="2">
        <v>197.3309600781289</v>
      </c>
    </row>
    <row r="1150" spans="9:14" x14ac:dyDescent="0.15">
      <c r="I1150">
        <v>1146</v>
      </c>
      <c r="J1150" t="s">
        <v>3</v>
      </c>
      <c r="K1150" s="1">
        <v>38463</v>
      </c>
      <c r="L1150" t="s">
        <v>12</v>
      </c>
      <c r="M1150" s="3">
        <v>29</v>
      </c>
      <c r="N1150" s="2">
        <v>89.184247826635968</v>
      </c>
    </row>
    <row r="1151" spans="9:14" x14ac:dyDescent="0.15">
      <c r="I1151">
        <v>1147</v>
      </c>
      <c r="J1151" t="s">
        <v>4</v>
      </c>
      <c r="K1151" s="1">
        <v>38177</v>
      </c>
      <c r="L1151" t="s">
        <v>13</v>
      </c>
      <c r="M1151" s="3">
        <v>8</v>
      </c>
      <c r="N1151" s="2">
        <v>26.088167418036129</v>
      </c>
    </row>
    <row r="1152" spans="9:14" x14ac:dyDescent="0.15">
      <c r="I1152">
        <v>1148</v>
      </c>
      <c r="J1152" t="s">
        <v>6</v>
      </c>
      <c r="K1152" s="1">
        <v>38727</v>
      </c>
      <c r="L1152" t="s">
        <v>13</v>
      </c>
      <c r="M1152" s="3">
        <v>42</v>
      </c>
      <c r="N1152" s="2">
        <v>127.86858054734927</v>
      </c>
    </row>
    <row r="1153" spans="9:14" x14ac:dyDescent="0.15">
      <c r="I1153">
        <v>1149</v>
      </c>
      <c r="J1153" t="s">
        <v>8</v>
      </c>
      <c r="K1153" s="1">
        <v>38045</v>
      </c>
      <c r="L1153" t="s">
        <v>9</v>
      </c>
      <c r="M1153" s="3">
        <v>93</v>
      </c>
      <c r="N1153" s="2">
        <v>280.72118754503384</v>
      </c>
    </row>
    <row r="1154" spans="9:14" x14ac:dyDescent="0.15">
      <c r="I1154">
        <v>1150</v>
      </c>
      <c r="J1154" t="s">
        <v>4</v>
      </c>
      <c r="K1154" s="1">
        <v>38144</v>
      </c>
      <c r="L1154" t="s">
        <v>9</v>
      </c>
      <c r="M1154" s="3">
        <v>69</v>
      </c>
      <c r="N1154" s="2">
        <v>209.153628171767</v>
      </c>
    </row>
    <row r="1155" spans="9:14" x14ac:dyDescent="0.15">
      <c r="I1155">
        <v>1151</v>
      </c>
      <c r="J1155" t="s">
        <v>2</v>
      </c>
      <c r="K1155" s="1">
        <v>38903</v>
      </c>
      <c r="L1155" t="s">
        <v>12</v>
      </c>
      <c r="M1155" s="3">
        <v>91</v>
      </c>
      <c r="N1155" s="2">
        <v>274.80447122686729</v>
      </c>
    </row>
    <row r="1156" spans="9:14" x14ac:dyDescent="0.15">
      <c r="I1156">
        <v>1152</v>
      </c>
      <c r="J1156" t="s">
        <v>3</v>
      </c>
      <c r="K1156" s="1">
        <v>38386</v>
      </c>
      <c r="L1156" t="s">
        <v>11</v>
      </c>
      <c r="M1156" s="3">
        <v>11</v>
      </c>
      <c r="N1156" s="2">
        <v>34.520998663564384</v>
      </c>
    </row>
    <row r="1157" spans="9:14" x14ac:dyDescent="0.15">
      <c r="I1157">
        <v>1153</v>
      </c>
      <c r="J1157" t="s">
        <v>3</v>
      </c>
      <c r="K1157" s="1">
        <v>38353</v>
      </c>
      <c r="L1157" t="s">
        <v>10</v>
      </c>
      <c r="M1157" s="3">
        <v>-1</v>
      </c>
      <c r="N1157" s="2">
        <v>-1.5629041843202898</v>
      </c>
    </row>
    <row r="1158" spans="9:14" x14ac:dyDescent="0.15">
      <c r="I1158">
        <v>1154</v>
      </c>
      <c r="J1158" t="s">
        <v>0</v>
      </c>
      <c r="K1158" s="1">
        <v>38342</v>
      </c>
      <c r="L1158" t="s">
        <v>12</v>
      </c>
      <c r="M1158" s="3">
        <v>52</v>
      </c>
      <c r="N1158" s="2">
        <v>158.21071487768182</v>
      </c>
    </row>
    <row r="1159" spans="9:14" x14ac:dyDescent="0.15">
      <c r="I1159">
        <v>1155</v>
      </c>
      <c r="J1159" t="s">
        <v>8</v>
      </c>
      <c r="K1159" s="1">
        <v>38782</v>
      </c>
      <c r="L1159" t="s">
        <v>13</v>
      </c>
      <c r="M1159" s="3">
        <v>-10</v>
      </c>
      <c r="N1159" s="2">
        <v>-28.635014383965792</v>
      </c>
    </row>
    <row r="1160" spans="9:14" x14ac:dyDescent="0.15">
      <c r="I1160">
        <v>1156</v>
      </c>
      <c r="J1160" t="s">
        <v>4</v>
      </c>
      <c r="K1160" s="1">
        <v>39046</v>
      </c>
      <c r="L1160" t="s">
        <v>12</v>
      </c>
      <c r="M1160" s="3">
        <v>33</v>
      </c>
      <c r="N1160" s="2">
        <v>100.50696775814504</v>
      </c>
    </row>
    <row r="1161" spans="9:14" x14ac:dyDescent="0.15">
      <c r="I1161">
        <v>1157</v>
      </c>
      <c r="J1161" t="s">
        <v>8</v>
      </c>
      <c r="K1161" s="1">
        <v>38265</v>
      </c>
      <c r="L1161" t="s">
        <v>13</v>
      </c>
      <c r="M1161" s="3">
        <v>-1</v>
      </c>
      <c r="N1161" s="2">
        <v>-1.1155837084126869</v>
      </c>
    </row>
    <row r="1162" spans="9:14" x14ac:dyDescent="0.15">
      <c r="I1162">
        <v>1158</v>
      </c>
      <c r="J1162" t="s">
        <v>2</v>
      </c>
      <c r="K1162" s="1">
        <v>38958</v>
      </c>
      <c r="L1162" t="s">
        <v>12</v>
      </c>
      <c r="M1162" s="3">
        <v>24</v>
      </c>
      <c r="N1162" s="2">
        <v>73.541516730294589</v>
      </c>
    </row>
    <row r="1163" spans="9:14" x14ac:dyDescent="0.15">
      <c r="I1163">
        <v>1159</v>
      </c>
      <c r="J1163" t="s">
        <v>0</v>
      </c>
      <c r="K1163" s="1">
        <v>38122</v>
      </c>
      <c r="L1163" t="s">
        <v>9</v>
      </c>
      <c r="M1163" s="3">
        <v>71</v>
      </c>
      <c r="N1163" s="2">
        <v>214.70316225183416</v>
      </c>
    </row>
    <row r="1164" spans="9:14" x14ac:dyDescent="0.15">
      <c r="I1164">
        <v>1160</v>
      </c>
      <c r="J1164" t="s">
        <v>3</v>
      </c>
      <c r="K1164" s="1">
        <v>38309</v>
      </c>
      <c r="L1164" t="s">
        <v>10</v>
      </c>
      <c r="M1164" s="3">
        <v>88</v>
      </c>
      <c r="N1164" s="2">
        <v>265.86483001134803</v>
      </c>
    </row>
    <row r="1165" spans="9:14" x14ac:dyDescent="0.15">
      <c r="I1165">
        <v>1161</v>
      </c>
      <c r="J1165" t="s">
        <v>8</v>
      </c>
      <c r="K1165" s="1">
        <v>38562</v>
      </c>
      <c r="L1165" t="s">
        <v>10</v>
      </c>
      <c r="M1165" s="3">
        <v>16</v>
      </c>
      <c r="N1165" s="2">
        <v>49.990501805612737</v>
      </c>
    </row>
    <row r="1166" spans="9:14" x14ac:dyDescent="0.15">
      <c r="I1166">
        <v>1162</v>
      </c>
      <c r="J1166" t="s">
        <v>7</v>
      </c>
      <c r="K1166" s="1">
        <v>38518</v>
      </c>
      <c r="L1166" t="s">
        <v>9</v>
      </c>
      <c r="M1166" s="3">
        <v>7</v>
      </c>
      <c r="N1166" s="2">
        <v>23.192150694784473</v>
      </c>
    </row>
    <row r="1167" spans="9:14" x14ac:dyDescent="0.15">
      <c r="I1167">
        <v>1163</v>
      </c>
      <c r="J1167" t="s">
        <v>5</v>
      </c>
      <c r="K1167" s="1">
        <v>38254</v>
      </c>
      <c r="L1167" t="s">
        <v>12</v>
      </c>
      <c r="M1167" s="3">
        <v>46</v>
      </c>
      <c r="N1167" s="2">
        <v>140.4791075192903</v>
      </c>
    </row>
    <row r="1168" spans="9:14" x14ac:dyDescent="0.15">
      <c r="I1168">
        <v>1164</v>
      </c>
      <c r="J1168" t="s">
        <v>6</v>
      </c>
      <c r="K1168" s="1">
        <v>38320</v>
      </c>
      <c r="L1168" t="s">
        <v>9</v>
      </c>
      <c r="M1168" s="3">
        <v>-10</v>
      </c>
      <c r="N1168" s="2">
        <v>-27.584277375696701</v>
      </c>
    </row>
    <row r="1169" spans="9:14" x14ac:dyDescent="0.15">
      <c r="I1169">
        <v>1165</v>
      </c>
      <c r="J1169" t="s">
        <v>3</v>
      </c>
      <c r="K1169" s="1">
        <v>38892</v>
      </c>
      <c r="L1169" t="s">
        <v>10</v>
      </c>
      <c r="M1169" s="3">
        <v>83</v>
      </c>
      <c r="N1169" s="2">
        <v>251.13323611062162</v>
      </c>
    </row>
    <row r="1170" spans="9:14" x14ac:dyDescent="0.15">
      <c r="I1170">
        <v>1166</v>
      </c>
      <c r="J1170" t="s">
        <v>0</v>
      </c>
      <c r="K1170" s="1">
        <v>38793</v>
      </c>
      <c r="L1170" t="s">
        <v>10</v>
      </c>
      <c r="M1170" s="3">
        <v>85</v>
      </c>
      <c r="N1170" s="2">
        <v>256.22552874700915</v>
      </c>
    </row>
    <row r="1171" spans="9:14" x14ac:dyDescent="0.15">
      <c r="I1171">
        <v>1167</v>
      </c>
      <c r="J1171" t="s">
        <v>4</v>
      </c>
      <c r="K1171" s="1">
        <v>38606</v>
      </c>
      <c r="L1171" t="s">
        <v>11</v>
      </c>
      <c r="M1171" s="3">
        <v>18</v>
      </c>
      <c r="N1171" s="2">
        <v>56.221796879126835</v>
      </c>
    </row>
    <row r="1172" spans="9:14" x14ac:dyDescent="0.15">
      <c r="I1172">
        <v>1168</v>
      </c>
      <c r="J1172" t="s">
        <v>1</v>
      </c>
      <c r="K1172" s="1">
        <v>38254</v>
      </c>
      <c r="L1172" t="s">
        <v>13</v>
      </c>
      <c r="M1172" s="3">
        <v>83</v>
      </c>
      <c r="N1172" s="2">
        <v>251.40375169999851</v>
      </c>
    </row>
    <row r="1173" spans="9:14" x14ac:dyDescent="0.15">
      <c r="I1173">
        <v>1169</v>
      </c>
      <c r="J1173" t="s">
        <v>7</v>
      </c>
      <c r="K1173" s="1">
        <v>39046</v>
      </c>
      <c r="L1173" t="s">
        <v>10</v>
      </c>
      <c r="M1173" s="3">
        <v>71</v>
      </c>
      <c r="N1173" s="2">
        <v>214.72037779298833</v>
      </c>
    </row>
    <row r="1174" spans="9:14" x14ac:dyDescent="0.15">
      <c r="I1174">
        <v>1170</v>
      </c>
      <c r="J1174" t="s">
        <v>5</v>
      </c>
      <c r="K1174" s="1">
        <v>38232</v>
      </c>
      <c r="L1174" t="s">
        <v>11</v>
      </c>
      <c r="M1174" s="3">
        <v>2</v>
      </c>
      <c r="N1174" s="2">
        <v>7.9324854406454115</v>
      </c>
    </row>
    <row r="1175" spans="9:14" x14ac:dyDescent="0.15">
      <c r="I1175">
        <v>1171</v>
      </c>
      <c r="J1175" t="s">
        <v>8</v>
      </c>
      <c r="K1175" s="1">
        <v>39035</v>
      </c>
      <c r="L1175" t="s">
        <v>9</v>
      </c>
      <c r="M1175" s="3">
        <v>71</v>
      </c>
      <c r="N1175" s="2">
        <v>215.03086098171244</v>
      </c>
    </row>
    <row r="1176" spans="9:14" x14ac:dyDescent="0.15">
      <c r="I1176">
        <v>1172</v>
      </c>
      <c r="J1176" t="s">
        <v>4</v>
      </c>
      <c r="K1176" s="1">
        <v>38617</v>
      </c>
      <c r="L1176" t="s">
        <v>13</v>
      </c>
      <c r="M1176" s="3">
        <v>68</v>
      </c>
      <c r="N1176" s="2">
        <v>206.20589088795145</v>
      </c>
    </row>
    <row r="1177" spans="9:14" x14ac:dyDescent="0.15">
      <c r="I1177">
        <v>1173</v>
      </c>
      <c r="J1177" t="s">
        <v>5</v>
      </c>
      <c r="K1177" s="1">
        <v>38298</v>
      </c>
      <c r="L1177" t="s">
        <v>11</v>
      </c>
      <c r="M1177" s="3">
        <v>30</v>
      </c>
      <c r="N1177" s="2">
        <v>92.33205932019861</v>
      </c>
    </row>
    <row r="1178" spans="9:14" x14ac:dyDescent="0.15">
      <c r="I1178">
        <v>1174</v>
      </c>
      <c r="J1178" t="s">
        <v>3</v>
      </c>
      <c r="K1178" s="1">
        <v>38749</v>
      </c>
      <c r="L1178" t="s">
        <v>13</v>
      </c>
      <c r="M1178" s="3">
        <v>72</v>
      </c>
      <c r="N1178" s="2">
        <v>217.8071938981364</v>
      </c>
    </row>
    <row r="1179" spans="9:14" x14ac:dyDescent="0.15">
      <c r="I1179">
        <v>1175</v>
      </c>
      <c r="J1179" t="s">
        <v>0</v>
      </c>
      <c r="K1179" s="1">
        <v>38221</v>
      </c>
      <c r="L1179" t="s">
        <v>11</v>
      </c>
      <c r="M1179" s="3">
        <v>73</v>
      </c>
      <c r="N1179" s="2">
        <v>221.36652611293488</v>
      </c>
    </row>
    <row r="1180" spans="9:14" x14ac:dyDescent="0.15">
      <c r="I1180">
        <v>1176</v>
      </c>
      <c r="J1180" t="s">
        <v>8</v>
      </c>
      <c r="K1180" s="1">
        <v>38738</v>
      </c>
      <c r="L1180" t="s">
        <v>10</v>
      </c>
      <c r="M1180" s="3">
        <v>28</v>
      </c>
      <c r="N1180" s="2">
        <v>86.468421123864729</v>
      </c>
    </row>
    <row r="1181" spans="9:14" x14ac:dyDescent="0.15">
      <c r="I1181">
        <v>1177</v>
      </c>
      <c r="J1181" t="s">
        <v>7</v>
      </c>
      <c r="K1181" s="1">
        <v>38793</v>
      </c>
      <c r="L1181" t="s">
        <v>12</v>
      </c>
      <c r="M1181" s="3">
        <v>40</v>
      </c>
      <c r="N1181" s="2">
        <v>122.63642805944112</v>
      </c>
    </row>
    <row r="1182" spans="9:14" x14ac:dyDescent="0.15">
      <c r="I1182">
        <v>1178</v>
      </c>
      <c r="J1182" t="s">
        <v>5</v>
      </c>
      <c r="K1182" s="1">
        <v>39057</v>
      </c>
      <c r="L1182" t="s">
        <v>9</v>
      </c>
      <c r="M1182" s="3">
        <v>-8</v>
      </c>
      <c r="N1182" s="2">
        <v>-22.295514644563095</v>
      </c>
    </row>
    <row r="1183" spans="9:14" x14ac:dyDescent="0.15">
      <c r="I1183">
        <v>1179</v>
      </c>
      <c r="J1183" t="s">
        <v>6</v>
      </c>
      <c r="K1183" s="1">
        <v>38452</v>
      </c>
      <c r="L1183" t="s">
        <v>13</v>
      </c>
      <c r="M1183" s="3">
        <v>70</v>
      </c>
      <c r="N1183" s="2">
        <v>211.69145448851842</v>
      </c>
    </row>
    <row r="1184" spans="9:14" x14ac:dyDescent="0.15">
      <c r="I1184">
        <v>1180</v>
      </c>
      <c r="J1184" t="s">
        <v>8</v>
      </c>
      <c r="K1184" s="1">
        <v>38705</v>
      </c>
      <c r="L1184" t="s">
        <v>11</v>
      </c>
      <c r="M1184" s="3">
        <v>3</v>
      </c>
      <c r="N1184" s="2">
        <v>10.721781338210716</v>
      </c>
    </row>
    <row r="1185" spans="9:14" x14ac:dyDescent="0.15">
      <c r="I1185">
        <v>1181</v>
      </c>
      <c r="J1185" t="s">
        <v>8</v>
      </c>
      <c r="K1185" s="1">
        <v>38331</v>
      </c>
      <c r="L1185" t="s">
        <v>11</v>
      </c>
      <c r="M1185" s="3">
        <v>33</v>
      </c>
      <c r="N1185" s="2">
        <v>100.68258329871269</v>
      </c>
    </row>
    <row r="1186" spans="9:14" x14ac:dyDescent="0.15">
      <c r="I1186">
        <v>1182</v>
      </c>
      <c r="J1186" t="s">
        <v>2</v>
      </c>
      <c r="K1186" s="1">
        <v>38221</v>
      </c>
      <c r="L1186" t="s">
        <v>10</v>
      </c>
      <c r="M1186" s="3">
        <v>88</v>
      </c>
      <c r="N1186" s="2">
        <v>265.74766319973446</v>
      </c>
    </row>
    <row r="1187" spans="9:14" x14ac:dyDescent="0.15">
      <c r="I1187">
        <v>1183</v>
      </c>
      <c r="J1187" t="s">
        <v>5</v>
      </c>
      <c r="K1187" s="1">
        <v>38353</v>
      </c>
      <c r="L1187" t="s">
        <v>12</v>
      </c>
      <c r="M1187" s="3">
        <v>39</v>
      </c>
      <c r="N1187" s="2">
        <v>119.1661098521913</v>
      </c>
    </row>
    <row r="1188" spans="9:14" x14ac:dyDescent="0.15">
      <c r="I1188">
        <v>1184</v>
      </c>
      <c r="J1188" t="s">
        <v>7</v>
      </c>
      <c r="K1188" s="1">
        <v>38529</v>
      </c>
      <c r="L1188" t="s">
        <v>13</v>
      </c>
      <c r="M1188" s="3">
        <v>64</v>
      </c>
      <c r="N1188" s="2">
        <v>193.63735378454803</v>
      </c>
    </row>
    <row r="1189" spans="9:14" x14ac:dyDescent="0.15">
      <c r="I1189">
        <v>1185</v>
      </c>
      <c r="J1189" t="s">
        <v>0</v>
      </c>
      <c r="K1189" s="1">
        <v>38892</v>
      </c>
      <c r="L1189" t="s">
        <v>10</v>
      </c>
      <c r="M1189" s="3">
        <v>0</v>
      </c>
      <c r="N1189" s="2">
        <v>2.1318123006760317</v>
      </c>
    </row>
    <row r="1190" spans="9:14" x14ac:dyDescent="0.15">
      <c r="I1190">
        <v>1186</v>
      </c>
      <c r="J1190" t="s">
        <v>1</v>
      </c>
      <c r="K1190" s="1">
        <v>38067</v>
      </c>
      <c r="L1190" t="s">
        <v>13</v>
      </c>
      <c r="M1190" s="3">
        <v>26</v>
      </c>
      <c r="N1190" s="2">
        <v>80.373766797749937</v>
      </c>
    </row>
    <row r="1191" spans="9:14" x14ac:dyDescent="0.15">
      <c r="I1191">
        <v>1187</v>
      </c>
      <c r="J1191" t="s">
        <v>6</v>
      </c>
      <c r="K1191" s="1">
        <v>38056</v>
      </c>
      <c r="L1191" t="s">
        <v>10</v>
      </c>
      <c r="M1191" s="3">
        <v>0</v>
      </c>
      <c r="N1191" s="2">
        <v>1.4880685060494558</v>
      </c>
    </row>
    <row r="1192" spans="9:14" x14ac:dyDescent="0.15">
      <c r="I1192">
        <v>1188</v>
      </c>
      <c r="J1192" t="s">
        <v>8</v>
      </c>
      <c r="K1192" s="1">
        <v>38881</v>
      </c>
      <c r="L1192" t="s">
        <v>9</v>
      </c>
      <c r="M1192" s="3">
        <v>76</v>
      </c>
      <c r="N1192" s="2">
        <v>229.77238860248113</v>
      </c>
    </row>
    <row r="1193" spans="9:14" x14ac:dyDescent="0.15">
      <c r="I1193">
        <v>1189</v>
      </c>
      <c r="J1193" t="s">
        <v>5</v>
      </c>
      <c r="K1193" s="1">
        <v>38287</v>
      </c>
      <c r="L1193" t="s">
        <v>11</v>
      </c>
      <c r="M1193" s="3">
        <v>75</v>
      </c>
      <c r="N1193" s="2">
        <v>227.61957571703351</v>
      </c>
    </row>
    <row r="1194" spans="9:14" x14ac:dyDescent="0.15">
      <c r="I1194">
        <v>1190</v>
      </c>
      <c r="J1194" t="s">
        <v>5</v>
      </c>
      <c r="K1194" s="1">
        <v>38155</v>
      </c>
      <c r="L1194" t="s">
        <v>10</v>
      </c>
      <c r="M1194" s="3">
        <v>61</v>
      </c>
      <c r="N1194" s="2">
        <v>184.47481128177199</v>
      </c>
    </row>
    <row r="1195" spans="9:14" x14ac:dyDescent="0.15">
      <c r="I1195">
        <v>1191</v>
      </c>
      <c r="J1195" t="s">
        <v>7</v>
      </c>
      <c r="K1195" s="1">
        <v>38551</v>
      </c>
      <c r="L1195" t="s">
        <v>11</v>
      </c>
      <c r="M1195" s="3">
        <v>-2</v>
      </c>
      <c r="N1195" s="2">
        <v>-4.2806028749734537</v>
      </c>
    </row>
    <row r="1196" spans="9:14" x14ac:dyDescent="0.15">
      <c r="I1196">
        <v>1192</v>
      </c>
      <c r="J1196" t="s">
        <v>3</v>
      </c>
      <c r="K1196" s="1">
        <v>38023</v>
      </c>
      <c r="L1196" t="s">
        <v>13</v>
      </c>
      <c r="M1196" s="3">
        <v>40</v>
      </c>
      <c r="N1196" s="2">
        <v>122.55161793559111</v>
      </c>
    </row>
    <row r="1197" spans="9:14" x14ac:dyDescent="0.15">
      <c r="I1197">
        <v>1193</v>
      </c>
      <c r="J1197" t="s">
        <v>2</v>
      </c>
      <c r="K1197" s="1">
        <v>38397</v>
      </c>
      <c r="L1197" t="s">
        <v>11</v>
      </c>
      <c r="M1197" s="3">
        <v>5</v>
      </c>
      <c r="N1197" s="2">
        <v>17.384002396298932</v>
      </c>
    </row>
    <row r="1198" spans="9:14" x14ac:dyDescent="0.15">
      <c r="I1198">
        <v>1194</v>
      </c>
      <c r="J1198" t="s">
        <v>2</v>
      </c>
      <c r="K1198" s="1">
        <v>38980</v>
      </c>
      <c r="L1198" t="s">
        <v>11</v>
      </c>
      <c r="M1198" s="3">
        <v>57</v>
      </c>
      <c r="N1198" s="2">
        <v>172.52313391180516</v>
      </c>
    </row>
    <row r="1199" spans="9:14" x14ac:dyDescent="0.15">
      <c r="I1199">
        <v>1195</v>
      </c>
      <c r="J1199" t="s">
        <v>0</v>
      </c>
      <c r="K1199" s="1">
        <v>38804</v>
      </c>
      <c r="L1199" t="s">
        <v>11</v>
      </c>
      <c r="M1199" s="3">
        <v>86</v>
      </c>
      <c r="N1199" s="2">
        <v>259.81646524411644</v>
      </c>
    </row>
    <row r="1200" spans="9:14" x14ac:dyDescent="0.15">
      <c r="I1200">
        <v>1196</v>
      </c>
      <c r="J1200" t="s">
        <v>8</v>
      </c>
      <c r="K1200" s="1">
        <v>38155</v>
      </c>
      <c r="L1200" t="s">
        <v>13</v>
      </c>
      <c r="M1200" s="3">
        <v>15</v>
      </c>
      <c r="N1200" s="2">
        <v>46.529110883082438</v>
      </c>
    </row>
    <row r="1201" spans="9:14" x14ac:dyDescent="0.15">
      <c r="I1201">
        <v>1197</v>
      </c>
      <c r="J1201" t="s">
        <v>7</v>
      </c>
      <c r="K1201" s="1">
        <v>38969</v>
      </c>
      <c r="L1201" t="s">
        <v>11</v>
      </c>
      <c r="M1201" s="3">
        <v>39</v>
      </c>
      <c r="N1201" s="2">
        <v>118.84027043467471</v>
      </c>
    </row>
    <row r="1202" spans="9:14" x14ac:dyDescent="0.15">
      <c r="I1202">
        <v>1198</v>
      </c>
      <c r="J1202" t="s">
        <v>8</v>
      </c>
      <c r="K1202" s="1">
        <v>38111</v>
      </c>
      <c r="L1202" t="s">
        <v>9</v>
      </c>
      <c r="M1202" s="3">
        <v>94</v>
      </c>
      <c r="N1202" s="2">
        <v>284.28308169489765</v>
      </c>
    </row>
    <row r="1203" spans="9:14" x14ac:dyDescent="0.15">
      <c r="I1203">
        <v>1199</v>
      </c>
      <c r="J1203" t="s">
        <v>8</v>
      </c>
      <c r="K1203" s="1">
        <v>38804</v>
      </c>
      <c r="L1203" t="s">
        <v>10</v>
      </c>
      <c r="M1203" s="3">
        <v>78</v>
      </c>
      <c r="N1203" s="2">
        <v>235.94909602444432</v>
      </c>
    </row>
    <row r="1204" spans="9:14" x14ac:dyDescent="0.15">
      <c r="I1204">
        <v>1200</v>
      </c>
      <c r="J1204" t="s">
        <v>7</v>
      </c>
      <c r="K1204" s="1">
        <v>38738</v>
      </c>
      <c r="L1204" t="s">
        <v>11</v>
      </c>
      <c r="M1204" s="3">
        <v>65</v>
      </c>
      <c r="N1204" s="2">
        <v>196.94723752480948</v>
      </c>
    </row>
    <row r="1205" spans="9:14" x14ac:dyDescent="0.15">
      <c r="I1205">
        <v>1201</v>
      </c>
      <c r="J1205" t="s">
        <v>6</v>
      </c>
      <c r="K1205" s="1">
        <v>39068</v>
      </c>
      <c r="L1205" t="s">
        <v>11</v>
      </c>
      <c r="M1205" s="3">
        <v>66</v>
      </c>
      <c r="N1205" s="2">
        <v>199.89422548511391</v>
      </c>
    </row>
    <row r="1206" spans="9:14" x14ac:dyDescent="0.15">
      <c r="I1206">
        <v>1202</v>
      </c>
      <c r="J1206" t="s">
        <v>5</v>
      </c>
      <c r="K1206" s="1">
        <v>38485</v>
      </c>
      <c r="L1206" t="s">
        <v>12</v>
      </c>
      <c r="M1206" s="3">
        <v>84</v>
      </c>
      <c r="N1206" s="2">
        <v>254.09765790734036</v>
      </c>
    </row>
    <row r="1207" spans="9:14" x14ac:dyDescent="0.15">
      <c r="I1207">
        <v>1203</v>
      </c>
      <c r="J1207" t="s">
        <v>8</v>
      </c>
      <c r="K1207" s="1">
        <v>38793</v>
      </c>
      <c r="L1207" t="s">
        <v>12</v>
      </c>
      <c r="M1207" s="3">
        <v>35</v>
      </c>
      <c r="N1207" s="2">
        <v>107.42230334811192</v>
      </c>
    </row>
    <row r="1208" spans="9:14" x14ac:dyDescent="0.15">
      <c r="I1208">
        <v>1204</v>
      </c>
      <c r="J1208" t="s">
        <v>1</v>
      </c>
      <c r="K1208" s="1">
        <v>38144</v>
      </c>
      <c r="L1208" t="s">
        <v>12</v>
      </c>
      <c r="M1208" s="3">
        <v>94</v>
      </c>
      <c r="N1208" s="2">
        <v>284.44960047674812</v>
      </c>
    </row>
    <row r="1209" spans="9:14" x14ac:dyDescent="0.15">
      <c r="I1209">
        <v>1205</v>
      </c>
      <c r="J1209" t="s">
        <v>2</v>
      </c>
      <c r="K1209" s="1">
        <v>38452</v>
      </c>
      <c r="L1209" t="s">
        <v>10</v>
      </c>
      <c r="M1209" s="3">
        <v>26</v>
      </c>
      <c r="N1209" s="2">
        <v>80.008907895331433</v>
      </c>
    </row>
    <row r="1210" spans="9:14" x14ac:dyDescent="0.15">
      <c r="I1210">
        <v>1206</v>
      </c>
      <c r="J1210" t="s">
        <v>0</v>
      </c>
      <c r="K1210" s="1">
        <v>38925</v>
      </c>
      <c r="L1210" t="s">
        <v>11</v>
      </c>
      <c r="M1210" s="3">
        <v>80</v>
      </c>
      <c r="N1210" s="2">
        <v>242.68960514739433</v>
      </c>
    </row>
    <row r="1211" spans="9:14" x14ac:dyDescent="0.15">
      <c r="I1211">
        <v>1207</v>
      </c>
      <c r="J1211" t="s">
        <v>1</v>
      </c>
      <c r="K1211" s="1">
        <v>38133</v>
      </c>
      <c r="L1211" t="s">
        <v>10</v>
      </c>
      <c r="M1211" s="3">
        <v>7</v>
      </c>
      <c r="N1211" s="2">
        <v>22.749084769262449</v>
      </c>
    </row>
    <row r="1212" spans="9:14" x14ac:dyDescent="0.15">
      <c r="I1212">
        <v>1208</v>
      </c>
      <c r="J1212" t="s">
        <v>3</v>
      </c>
      <c r="K1212" s="1">
        <v>38925</v>
      </c>
      <c r="L1212" t="s">
        <v>12</v>
      </c>
      <c r="M1212" s="3">
        <v>47</v>
      </c>
      <c r="N1212" s="2">
        <v>142.45293344391169</v>
      </c>
    </row>
    <row r="1213" spans="9:14" x14ac:dyDescent="0.15">
      <c r="I1213">
        <v>1209</v>
      </c>
      <c r="J1213" t="s">
        <v>2</v>
      </c>
      <c r="K1213" s="1">
        <v>38243</v>
      </c>
      <c r="L1213" t="s">
        <v>10</v>
      </c>
      <c r="M1213" s="3">
        <v>32</v>
      </c>
      <c r="N1213" s="2">
        <v>98.66880662051085</v>
      </c>
    </row>
    <row r="1214" spans="9:14" x14ac:dyDescent="0.15">
      <c r="I1214">
        <v>1210</v>
      </c>
      <c r="J1214" t="s">
        <v>3</v>
      </c>
      <c r="K1214" s="1">
        <v>38683</v>
      </c>
      <c r="L1214" t="s">
        <v>10</v>
      </c>
      <c r="M1214" s="3">
        <v>8</v>
      </c>
      <c r="N1214" s="2">
        <v>25.397181435002494</v>
      </c>
    </row>
    <row r="1215" spans="9:14" x14ac:dyDescent="0.15">
      <c r="I1215">
        <v>1211</v>
      </c>
      <c r="J1215" t="s">
        <v>6</v>
      </c>
      <c r="K1215" s="1">
        <v>38199</v>
      </c>
      <c r="L1215" t="s">
        <v>12</v>
      </c>
      <c r="M1215" s="3">
        <v>33</v>
      </c>
      <c r="N1215" s="2">
        <v>100.90835792644413</v>
      </c>
    </row>
    <row r="1216" spans="9:14" x14ac:dyDescent="0.15">
      <c r="I1216">
        <v>1212</v>
      </c>
      <c r="J1216" t="s">
        <v>0</v>
      </c>
      <c r="K1216" s="1">
        <v>38232</v>
      </c>
      <c r="L1216" t="s">
        <v>11</v>
      </c>
      <c r="M1216" s="3">
        <v>22</v>
      </c>
      <c r="N1216" s="2">
        <v>68.443266596535878</v>
      </c>
    </row>
    <row r="1217" spans="9:14" x14ac:dyDescent="0.15">
      <c r="I1217">
        <v>1213</v>
      </c>
      <c r="J1217" t="s">
        <v>7</v>
      </c>
      <c r="K1217" s="1">
        <v>38650</v>
      </c>
      <c r="L1217" t="s">
        <v>10</v>
      </c>
      <c r="M1217" s="3">
        <v>81</v>
      </c>
      <c r="N1217" s="2">
        <v>244.7024907032648</v>
      </c>
    </row>
    <row r="1218" spans="9:14" x14ac:dyDescent="0.15">
      <c r="I1218">
        <v>1214</v>
      </c>
      <c r="J1218" t="s">
        <v>7</v>
      </c>
      <c r="K1218" s="1">
        <v>38881</v>
      </c>
      <c r="L1218" t="s">
        <v>13</v>
      </c>
      <c r="M1218" s="3">
        <v>81</v>
      </c>
      <c r="N1218" s="2">
        <v>244.87385074051761</v>
      </c>
    </row>
    <row r="1219" spans="9:14" x14ac:dyDescent="0.15">
      <c r="I1219">
        <v>1215</v>
      </c>
      <c r="J1219" t="s">
        <v>6</v>
      </c>
      <c r="K1219" s="1">
        <v>38199</v>
      </c>
      <c r="L1219" t="s">
        <v>9</v>
      </c>
      <c r="M1219" s="3">
        <v>30</v>
      </c>
      <c r="N1219" s="2">
        <v>91.738843901415805</v>
      </c>
    </row>
    <row r="1220" spans="9:14" x14ac:dyDescent="0.15">
      <c r="I1220">
        <v>1216</v>
      </c>
      <c r="J1220" t="s">
        <v>4</v>
      </c>
      <c r="K1220" s="1">
        <v>38243</v>
      </c>
      <c r="L1220" t="s">
        <v>10</v>
      </c>
      <c r="M1220" s="3">
        <v>-1</v>
      </c>
      <c r="N1220" s="2">
        <v>-1.145171893891844</v>
      </c>
    </row>
    <row r="1221" spans="9:14" x14ac:dyDescent="0.15">
      <c r="I1221">
        <v>1217</v>
      </c>
      <c r="J1221" t="s">
        <v>3</v>
      </c>
      <c r="K1221" s="1">
        <v>38859</v>
      </c>
      <c r="L1221" t="s">
        <v>12</v>
      </c>
      <c r="M1221" s="3">
        <v>35</v>
      </c>
      <c r="N1221" s="2">
        <v>106.85440305953027</v>
      </c>
    </row>
    <row r="1222" spans="9:14" x14ac:dyDescent="0.15">
      <c r="I1222">
        <v>1218</v>
      </c>
      <c r="J1222" t="s">
        <v>7</v>
      </c>
      <c r="K1222" s="1">
        <v>38793</v>
      </c>
      <c r="L1222" t="s">
        <v>12</v>
      </c>
      <c r="M1222" s="3">
        <v>78</v>
      </c>
      <c r="N1222" s="2">
        <v>235.96052865922752</v>
      </c>
    </row>
    <row r="1223" spans="9:14" x14ac:dyDescent="0.15">
      <c r="I1223">
        <v>1219</v>
      </c>
      <c r="J1223" t="s">
        <v>8</v>
      </c>
      <c r="K1223" s="1">
        <v>38936</v>
      </c>
      <c r="L1223" t="s">
        <v>10</v>
      </c>
      <c r="M1223" s="3">
        <v>15</v>
      </c>
      <c r="N1223" s="2">
        <v>47.22639965086119</v>
      </c>
    </row>
    <row r="1224" spans="9:14" x14ac:dyDescent="0.15">
      <c r="I1224">
        <v>1220</v>
      </c>
      <c r="J1224" t="s">
        <v>0</v>
      </c>
      <c r="K1224" s="1">
        <v>38375</v>
      </c>
      <c r="L1224" t="s">
        <v>12</v>
      </c>
      <c r="M1224" s="3">
        <v>75</v>
      </c>
      <c r="N1224" s="2">
        <v>226.87742764461669</v>
      </c>
    </row>
    <row r="1225" spans="9:14" x14ac:dyDescent="0.15">
      <c r="I1225">
        <v>1221</v>
      </c>
      <c r="J1225" t="s">
        <v>5</v>
      </c>
      <c r="K1225" s="1">
        <v>39002</v>
      </c>
      <c r="L1225" t="s">
        <v>11</v>
      </c>
      <c r="M1225" s="3">
        <v>12</v>
      </c>
      <c r="N1225" s="2">
        <v>38.143038750044731</v>
      </c>
    </row>
    <row r="1226" spans="9:14" x14ac:dyDescent="0.15">
      <c r="I1226">
        <v>1222</v>
      </c>
      <c r="J1226" t="s">
        <v>1</v>
      </c>
      <c r="K1226" s="1">
        <v>38672</v>
      </c>
      <c r="L1226" t="s">
        <v>12</v>
      </c>
      <c r="M1226" s="3">
        <v>30</v>
      </c>
      <c r="N1226" s="2">
        <v>91.983337200833716</v>
      </c>
    </row>
    <row r="1227" spans="9:14" x14ac:dyDescent="0.15">
      <c r="I1227">
        <v>1223</v>
      </c>
      <c r="J1227" t="s">
        <v>1</v>
      </c>
      <c r="K1227" s="1">
        <v>38485</v>
      </c>
      <c r="L1227" t="s">
        <v>11</v>
      </c>
      <c r="M1227" s="3">
        <v>42</v>
      </c>
      <c r="N1227" s="2">
        <v>128.0454928316145</v>
      </c>
    </row>
    <row r="1228" spans="9:14" x14ac:dyDescent="0.15">
      <c r="I1228">
        <v>1224</v>
      </c>
      <c r="J1228" t="s">
        <v>5</v>
      </c>
      <c r="K1228" s="1">
        <v>37990</v>
      </c>
      <c r="L1228" t="s">
        <v>11</v>
      </c>
      <c r="M1228" s="3">
        <v>-8</v>
      </c>
      <c r="N1228" s="2">
        <v>-22.146929145267091</v>
      </c>
    </row>
    <row r="1229" spans="9:14" x14ac:dyDescent="0.15">
      <c r="I1229">
        <v>1225</v>
      </c>
      <c r="J1229" t="s">
        <v>0</v>
      </c>
      <c r="K1229" s="1">
        <v>38089</v>
      </c>
      <c r="L1229" t="s">
        <v>13</v>
      </c>
      <c r="M1229" s="3">
        <v>93</v>
      </c>
      <c r="N1229" s="2">
        <v>280.73714428830147</v>
      </c>
    </row>
    <row r="1230" spans="9:14" x14ac:dyDescent="0.15">
      <c r="I1230">
        <v>1226</v>
      </c>
      <c r="J1230" t="s">
        <v>3</v>
      </c>
      <c r="K1230" s="1">
        <v>38958</v>
      </c>
      <c r="L1230" t="s">
        <v>11</v>
      </c>
      <c r="M1230" s="3">
        <v>55</v>
      </c>
      <c r="N1230" s="2">
        <v>167.57524533229733</v>
      </c>
    </row>
    <row r="1231" spans="9:14" x14ac:dyDescent="0.15">
      <c r="I1231">
        <v>1227</v>
      </c>
      <c r="J1231" t="s">
        <v>6</v>
      </c>
      <c r="K1231" s="1">
        <v>38408</v>
      </c>
      <c r="L1231" t="s">
        <v>10</v>
      </c>
      <c r="M1231" s="3">
        <v>53</v>
      </c>
      <c r="N1231" s="2">
        <v>161.16756896250922</v>
      </c>
    </row>
    <row r="1232" spans="9:14" x14ac:dyDescent="0.15">
      <c r="I1232">
        <v>1228</v>
      </c>
      <c r="J1232" t="s">
        <v>5</v>
      </c>
      <c r="K1232" s="1">
        <v>38903</v>
      </c>
      <c r="L1232" t="s">
        <v>11</v>
      </c>
      <c r="M1232" s="3">
        <v>20</v>
      </c>
      <c r="N1232" s="2">
        <v>61.771223708788817</v>
      </c>
    </row>
    <row r="1233" spans="9:14" x14ac:dyDescent="0.15">
      <c r="I1233">
        <v>1229</v>
      </c>
      <c r="J1233" t="s">
        <v>4</v>
      </c>
      <c r="K1233" s="1">
        <v>38463</v>
      </c>
      <c r="L1233" t="s">
        <v>13</v>
      </c>
      <c r="M1233" s="3">
        <v>19</v>
      </c>
      <c r="N1233" s="2">
        <v>58.720890783599678</v>
      </c>
    </row>
    <row r="1234" spans="9:14" x14ac:dyDescent="0.15">
      <c r="I1234">
        <v>1230</v>
      </c>
      <c r="J1234" t="s">
        <v>7</v>
      </c>
      <c r="K1234" s="1">
        <v>38375</v>
      </c>
      <c r="L1234" t="s">
        <v>12</v>
      </c>
      <c r="M1234" s="3">
        <v>23</v>
      </c>
      <c r="N1234" s="2">
        <v>70.867520556192943</v>
      </c>
    </row>
    <row r="1235" spans="9:14" x14ac:dyDescent="0.15">
      <c r="I1235">
        <v>1231</v>
      </c>
      <c r="J1235" t="s">
        <v>8</v>
      </c>
      <c r="K1235" s="1">
        <v>38782</v>
      </c>
      <c r="L1235" t="s">
        <v>9</v>
      </c>
      <c r="M1235" s="3">
        <v>68</v>
      </c>
      <c r="N1235" s="2">
        <v>205.90903893366013</v>
      </c>
    </row>
    <row r="1236" spans="9:14" x14ac:dyDescent="0.15">
      <c r="I1236">
        <v>1232</v>
      </c>
      <c r="J1236" t="s">
        <v>2</v>
      </c>
      <c r="K1236" s="1">
        <v>38738</v>
      </c>
      <c r="L1236" t="s">
        <v>13</v>
      </c>
      <c r="M1236" s="3">
        <v>52</v>
      </c>
      <c r="N1236" s="2">
        <v>157.86201256059277</v>
      </c>
    </row>
    <row r="1237" spans="9:14" x14ac:dyDescent="0.15">
      <c r="I1237">
        <v>1233</v>
      </c>
      <c r="J1237" t="s">
        <v>6</v>
      </c>
      <c r="K1237" s="1">
        <v>38551</v>
      </c>
      <c r="L1237" t="s">
        <v>11</v>
      </c>
      <c r="M1237" s="3">
        <v>40</v>
      </c>
      <c r="N1237" s="2">
        <v>121.95606531866419</v>
      </c>
    </row>
    <row r="1238" spans="9:14" x14ac:dyDescent="0.15">
      <c r="I1238">
        <v>1234</v>
      </c>
      <c r="J1238" t="s">
        <v>2</v>
      </c>
      <c r="K1238" s="1">
        <v>38771</v>
      </c>
      <c r="L1238" t="s">
        <v>12</v>
      </c>
      <c r="M1238" s="3">
        <v>22</v>
      </c>
      <c r="N1238" s="2">
        <v>67.708397118863431</v>
      </c>
    </row>
    <row r="1239" spans="9:14" x14ac:dyDescent="0.15">
      <c r="I1239">
        <v>1235</v>
      </c>
      <c r="J1239" t="s">
        <v>2</v>
      </c>
      <c r="K1239" s="1">
        <v>38452</v>
      </c>
      <c r="L1239" t="s">
        <v>13</v>
      </c>
      <c r="M1239" s="3">
        <v>5</v>
      </c>
      <c r="N1239" s="2">
        <v>16.990101124103898</v>
      </c>
    </row>
    <row r="1240" spans="9:14" x14ac:dyDescent="0.15">
      <c r="I1240">
        <v>1236</v>
      </c>
      <c r="J1240" t="s">
        <v>2</v>
      </c>
      <c r="K1240" s="1">
        <v>38815</v>
      </c>
      <c r="L1240" t="s">
        <v>12</v>
      </c>
      <c r="M1240" s="3">
        <v>30</v>
      </c>
      <c r="N1240" s="2">
        <v>92.283774629578076</v>
      </c>
    </row>
    <row r="1241" spans="9:14" x14ac:dyDescent="0.15">
      <c r="I1241">
        <v>1237</v>
      </c>
      <c r="J1241" t="s">
        <v>2</v>
      </c>
      <c r="K1241" s="1">
        <v>38078</v>
      </c>
      <c r="L1241" t="s">
        <v>11</v>
      </c>
      <c r="M1241" s="3">
        <v>6</v>
      </c>
      <c r="N1241" s="2">
        <v>20.244957158318631</v>
      </c>
    </row>
    <row r="1242" spans="9:14" x14ac:dyDescent="0.15">
      <c r="I1242">
        <v>1238</v>
      </c>
      <c r="J1242" t="s">
        <v>0</v>
      </c>
      <c r="K1242" s="1">
        <v>38254</v>
      </c>
      <c r="L1242" t="s">
        <v>13</v>
      </c>
      <c r="M1242" s="3">
        <v>92</v>
      </c>
      <c r="N1242" s="2">
        <v>277.63010190908926</v>
      </c>
    </row>
    <row r="1243" spans="9:14" x14ac:dyDescent="0.15">
      <c r="I1243">
        <v>1239</v>
      </c>
      <c r="J1243" t="s">
        <v>4</v>
      </c>
      <c r="K1243" s="1">
        <v>38859</v>
      </c>
      <c r="L1243" t="s">
        <v>12</v>
      </c>
      <c r="M1243" s="3">
        <v>-5</v>
      </c>
      <c r="N1243" s="2">
        <v>-12.432490366118355</v>
      </c>
    </row>
    <row r="1244" spans="9:14" x14ac:dyDescent="0.15">
      <c r="I1244">
        <v>1240</v>
      </c>
      <c r="J1244" t="s">
        <v>1</v>
      </c>
      <c r="K1244" s="1">
        <v>38848</v>
      </c>
      <c r="L1244" t="s">
        <v>10</v>
      </c>
      <c r="M1244" s="3">
        <v>20</v>
      </c>
      <c r="N1244" s="2">
        <v>61.840740307042338</v>
      </c>
    </row>
    <row r="1245" spans="9:14" x14ac:dyDescent="0.15">
      <c r="I1245">
        <v>1241</v>
      </c>
      <c r="J1245" t="s">
        <v>5</v>
      </c>
      <c r="K1245" s="1">
        <v>39079</v>
      </c>
      <c r="L1245" t="s">
        <v>12</v>
      </c>
      <c r="M1245" s="3">
        <v>54</v>
      </c>
      <c r="N1245" s="2">
        <v>163.08588736802977</v>
      </c>
    </row>
    <row r="1246" spans="9:14" x14ac:dyDescent="0.15">
      <c r="I1246">
        <v>1242</v>
      </c>
      <c r="J1246" t="s">
        <v>2</v>
      </c>
      <c r="K1246" s="1">
        <v>38452</v>
      </c>
      <c r="L1246" t="s">
        <v>11</v>
      </c>
      <c r="M1246" s="3">
        <v>9</v>
      </c>
      <c r="N1246" s="2">
        <v>29.206434361888643</v>
      </c>
    </row>
    <row r="1247" spans="9:14" x14ac:dyDescent="0.15">
      <c r="I1247">
        <v>1243</v>
      </c>
      <c r="J1247" t="s">
        <v>4</v>
      </c>
      <c r="K1247" s="1">
        <v>38485</v>
      </c>
      <c r="L1247" t="s">
        <v>11</v>
      </c>
      <c r="M1247" s="3">
        <v>6</v>
      </c>
      <c r="N1247" s="2">
        <v>19.957821441994636</v>
      </c>
    </row>
    <row r="1248" spans="9:14" x14ac:dyDescent="0.15">
      <c r="I1248">
        <v>1244</v>
      </c>
      <c r="J1248" t="s">
        <v>5</v>
      </c>
      <c r="K1248" s="1">
        <v>38111</v>
      </c>
      <c r="L1248" t="s">
        <v>10</v>
      </c>
      <c r="M1248" s="3">
        <v>47</v>
      </c>
      <c r="N1248" s="2">
        <v>142.82940012407209</v>
      </c>
    </row>
    <row r="1249" spans="9:14" x14ac:dyDescent="0.15">
      <c r="I1249">
        <v>1245</v>
      </c>
      <c r="J1249" t="s">
        <v>6</v>
      </c>
      <c r="K1249" s="1">
        <v>38672</v>
      </c>
      <c r="L1249" t="s">
        <v>12</v>
      </c>
      <c r="M1249" s="3">
        <v>-10</v>
      </c>
      <c r="N1249" s="2">
        <v>-27.091257616513943</v>
      </c>
    </row>
    <row r="1250" spans="9:14" x14ac:dyDescent="0.15">
      <c r="I1250">
        <v>1246</v>
      </c>
      <c r="J1250" t="s">
        <v>7</v>
      </c>
      <c r="K1250" s="1">
        <v>38122</v>
      </c>
      <c r="L1250" t="s">
        <v>12</v>
      </c>
      <c r="M1250" s="3">
        <v>90</v>
      </c>
      <c r="N1250" s="2">
        <v>272.34042411677569</v>
      </c>
    </row>
    <row r="1251" spans="9:14" x14ac:dyDescent="0.15">
      <c r="I1251">
        <v>1247</v>
      </c>
      <c r="J1251" t="s">
        <v>8</v>
      </c>
      <c r="K1251" s="1">
        <v>38023</v>
      </c>
      <c r="L1251" t="s">
        <v>9</v>
      </c>
      <c r="M1251" s="3">
        <v>48</v>
      </c>
      <c r="N1251" s="2">
        <v>146.4346102431829</v>
      </c>
    </row>
    <row r="1252" spans="9:14" x14ac:dyDescent="0.15">
      <c r="I1252">
        <v>1248</v>
      </c>
      <c r="J1252" t="s">
        <v>5</v>
      </c>
      <c r="K1252" s="1">
        <v>38452</v>
      </c>
      <c r="L1252" t="s">
        <v>9</v>
      </c>
      <c r="M1252" s="3">
        <v>55</v>
      </c>
      <c r="N1252" s="2">
        <v>167.32527262577906</v>
      </c>
    </row>
    <row r="1253" spans="9:14" x14ac:dyDescent="0.15">
      <c r="I1253">
        <v>1249</v>
      </c>
      <c r="J1253" t="s">
        <v>8</v>
      </c>
      <c r="K1253" s="1">
        <v>38892</v>
      </c>
      <c r="L1253" t="s">
        <v>12</v>
      </c>
      <c r="M1253" s="3">
        <v>42</v>
      </c>
      <c r="N1253" s="2">
        <v>128.47869059837046</v>
      </c>
    </row>
    <row r="1254" spans="9:14" x14ac:dyDescent="0.15">
      <c r="I1254">
        <v>1250</v>
      </c>
      <c r="J1254" t="s">
        <v>7</v>
      </c>
      <c r="K1254" s="1">
        <v>38749</v>
      </c>
      <c r="L1254" t="s">
        <v>11</v>
      </c>
      <c r="M1254" s="3">
        <v>39</v>
      </c>
      <c r="N1254" s="2">
        <v>119.42558225930649</v>
      </c>
    </row>
    <row r="1255" spans="9:14" x14ac:dyDescent="0.15">
      <c r="I1255">
        <v>1251</v>
      </c>
      <c r="J1255" t="s">
        <v>2</v>
      </c>
      <c r="K1255" s="1">
        <v>38672</v>
      </c>
      <c r="L1255" t="s">
        <v>12</v>
      </c>
      <c r="M1255" s="3">
        <v>26</v>
      </c>
      <c r="N1255" s="2">
        <v>79.641106811056247</v>
      </c>
    </row>
    <row r="1256" spans="9:14" x14ac:dyDescent="0.15">
      <c r="I1256">
        <v>1252</v>
      </c>
      <c r="J1256" t="s">
        <v>8</v>
      </c>
      <c r="K1256" s="1">
        <v>38760</v>
      </c>
      <c r="L1256" t="s">
        <v>12</v>
      </c>
      <c r="M1256" s="3">
        <v>26</v>
      </c>
      <c r="N1256" s="2">
        <v>79.499321772308136</v>
      </c>
    </row>
    <row r="1257" spans="9:14" x14ac:dyDescent="0.15">
      <c r="I1257">
        <v>1253</v>
      </c>
      <c r="J1257" t="s">
        <v>8</v>
      </c>
      <c r="K1257" s="1">
        <v>38705</v>
      </c>
      <c r="L1257" t="s">
        <v>11</v>
      </c>
      <c r="M1257" s="3">
        <v>52</v>
      </c>
      <c r="N1257" s="2">
        <v>158.28266649648856</v>
      </c>
    </row>
    <row r="1258" spans="9:14" x14ac:dyDescent="0.15">
      <c r="I1258">
        <v>1254</v>
      </c>
      <c r="J1258" t="s">
        <v>2</v>
      </c>
      <c r="K1258" s="1">
        <v>38309</v>
      </c>
      <c r="L1258" t="s">
        <v>9</v>
      </c>
      <c r="M1258" s="3">
        <v>19</v>
      </c>
      <c r="N1258" s="2">
        <v>58.769535018680784</v>
      </c>
    </row>
    <row r="1259" spans="9:14" x14ac:dyDescent="0.15">
      <c r="I1259">
        <v>1255</v>
      </c>
      <c r="J1259" t="s">
        <v>6</v>
      </c>
      <c r="K1259" s="1">
        <v>38210</v>
      </c>
      <c r="L1259" t="s">
        <v>12</v>
      </c>
      <c r="M1259" s="3">
        <v>18</v>
      </c>
      <c r="N1259" s="2">
        <v>55.683739721262491</v>
      </c>
    </row>
    <row r="1260" spans="9:14" x14ac:dyDescent="0.15">
      <c r="I1260">
        <v>1256</v>
      </c>
      <c r="J1260" t="s">
        <v>3</v>
      </c>
      <c r="K1260" s="1">
        <v>39046</v>
      </c>
      <c r="L1260" t="s">
        <v>12</v>
      </c>
      <c r="M1260" s="3">
        <v>87</v>
      </c>
      <c r="N1260" s="2">
        <v>263.04139351081579</v>
      </c>
    </row>
    <row r="1261" spans="9:14" x14ac:dyDescent="0.15">
      <c r="I1261">
        <v>1257</v>
      </c>
      <c r="J1261" t="s">
        <v>2</v>
      </c>
      <c r="K1261" s="1">
        <v>38276</v>
      </c>
      <c r="L1261" t="s">
        <v>11</v>
      </c>
      <c r="M1261" s="3">
        <v>46</v>
      </c>
      <c r="N1261" s="2">
        <v>139.93969189998913</v>
      </c>
    </row>
    <row r="1262" spans="9:14" x14ac:dyDescent="0.15">
      <c r="I1262">
        <v>1258</v>
      </c>
      <c r="J1262" t="s">
        <v>8</v>
      </c>
      <c r="K1262" s="1">
        <v>38914</v>
      </c>
      <c r="L1262" t="s">
        <v>12</v>
      </c>
      <c r="M1262" s="3">
        <v>54</v>
      </c>
      <c r="N1262" s="2">
        <v>163.69364721145854</v>
      </c>
    </row>
    <row r="1263" spans="9:14" x14ac:dyDescent="0.15">
      <c r="I1263">
        <v>1259</v>
      </c>
      <c r="J1263" t="s">
        <v>4</v>
      </c>
      <c r="K1263" s="1">
        <v>38045</v>
      </c>
      <c r="L1263" t="s">
        <v>12</v>
      </c>
      <c r="M1263" s="3">
        <v>21</v>
      </c>
      <c r="N1263" s="2">
        <v>64.701803739735197</v>
      </c>
    </row>
    <row r="1264" spans="9:14" x14ac:dyDescent="0.15">
      <c r="I1264">
        <v>1260</v>
      </c>
      <c r="J1264" t="s">
        <v>2</v>
      </c>
      <c r="K1264" s="1">
        <v>38023</v>
      </c>
      <c r="L1264" t="s">
        <v>9</v>
      </c>
      <c r="M1264" s="3">
        <v>-6</v>
      </c>
      <c r="N1264" s="2">
        <v>-16.23714349589131</v>
      </c>
    </row>
    <row r="1265" spans="9:14" x14ac:dyDescent="0.15">
      <c r="I1265">
        <v>1261</v>
      </c>
      <c r="J1265" t="s">
        <v>1</v>
      </c>
      <c r="K1265" s="1">
        <v>38309</v>
      </c>
      <c r="L1265" t="s">
        <v>9</v>
      </c>
      <c r="M1265" s="3">
        <v>47</v>
      </c>
      <c r="N1265" s="2">
        <v>142.41301237194139</v>
      </c>
    </row>
    <row r="1266" spans="9:14" x14ac:dyDescent="0.15">
      <c r="I1266">
        <v>1262</v>
      </c>
      <c r="J1266" t="s">
        <v>0</v>
      </c>
      <c r="K1266" s="1">
        <v>38100</v>
      </c>
      <c r="L1266" t="s">
        <v>9</v>
      </c>
      <c r="M1266" s="3">
        <v>14</v>
      </c>
      <c r="N1266" s="2">
        <v>44.23662693928393</v>
      </c>
    </row>
    <row r="1267" spans="9:14" x14ac:dyDescent="0.15">
      <c r="I1267">
        <v>1263</v>
      </c>
      <c r="J1267" t="s">
        <v>0</v>
      </c>
      <c r="K1267" s="1">
        <v>38991</v>
      </c>
      <c r="L1267" t="s">
        <v>9</v>
      </c>
      <c r="M1267" s="3">
        <v>73</v>
      </c>
      <c r="N1267" s="2">
        <v>220.5000128058029</v>
      </c>
    </row>
    <row r="1268" spans="9:14" x14ac:dyDescent="0.15">
      <c r="I1268">
        <v>1264</v>
      </c>
      <c r="J1268" t="s">
        <v>0</v>
      </c>
      <c r="K1268" s="1">
        <v>39068</v>
      </c>
      <c r="L1268" t="s">
        <v>10</v>
      </c>
      <c r="M1268" s="3">
        <v>14</v>
      </c>
      <c r="N1268" s="2">
        <v>44.424699895790788</v>
      </c>
    </row>
    <row r="1269" spans="9:14" x14ac:dyDescent="0.15">
      <c r="I1269">
        <v>1265</v>
      </c>
      <c r="J1269" t="s">
        <v>3</v>
      </c>
      <c r="K1269" s="1">
        <v>38815</v>
      </c>
      <c r="L1269" t="s">
        <v>10</v>
      </c>
      <c r="M1269" s="3">
        <v>95</v>
      </c>
      <c r="N1269" s="2">
        <v>286.75698716058628</v>
      </c>
    </row>
    <row r="1270" spans="9:14" x14ac:dyDescent="0.15">
      <c r="I1270">
        <v>1266</v>
      </c>
      <c r="J1270" t="s">
        <v>1</v>
      </c>
      <c r="K1270" s="1">
        <v>38034</v>
      </c>
      <c r="L1270" t="s">
        <v>11</v>
      </c>
      <c r="M1270" s="3">
        <v>64</v>
      </c>
      <c r="N1270" s="2">
        <v>193.36768203630285</v>
      </c>
    </row>
    <row r="1271" spans="9:14" x14ac:dyDescent="0.15">
      <c r="I1271">
        <v>1267</v>
      </c>
      <c r="J1271" t="s">
        <v>7</v>
      </c>
      <c r="K1271" s="1">
        <v>38265</v>
      </c>
      <c r="L1271" t="s">
        <v>11</v>
      </c>
      <c r="M1271" s="3">
        <v>47</v>
      </c>
      <c r="N1271" s="2">
        <v>143.14314267064674</v>
      </c>
    </row>
    <row r="1272" spans="9:14" x14ac:dyDescent="0.15">
      <c r="I1272">
        <v>1268</v>
      </c>
      <c r="J1272" t="s">
        <v>1</v>
      </c>
      <c r="K1272" s="1">
        <v>38320</v>
      </c>
      <c r="L1272" t="s">
        <v>9</v>
      </c>
      <c r="M1272" s="3">
        <v>20</v>
      </c>
      <c r="N1272" s="2">
        <v>61.937788372758583</v>
      </c>
    </row>
    <row r="1273" spans="9:14" x14ac:dyDescent="0.15">
      <c r="I1273">
        <v>1269</v>
      </c>
      <c r="J1273" t="s">
        <v>4</v>
      </c>
      <c r="K1273" s="1">
        <v>38342</v>
      </c>
      <c r="L1273" t="s">
        <v>10</v>
      </c>
      <c r="M1273" s="3">
        <v>71</v>
      </c>
      <c r="N1273" s="2">
        <v>215.32844026172367</v>
      </c>
    </row>
    <row r="1274" spans="9:14" x14ac:dyDescent="0.15">
      <c r="I1274">
        <v>1270</v>
      </c>
      <c r="J1274" t="s">
        <v>1</v>
      </c>
      <c r="K1274" s="1">
        <v>38639</v>
      </c>
      <c r="L1274" t="s">
        <v>11</v>
      </c>
      <c r="M1274" s="3">
        <v>66</v>
      </c>
      <c r="N1274" s="2">
        <v>199.49732716580834</v>
      </c>
    </row>
    <row r="1275" spans="9:14" x14ac:dyDescent="0.15">
      <c r="I1275">
        <v>1271</v>
      </c>
      <c r="J1275" t="s">
        <v>3</v>
      </c>
      <c r="K1275" s="1">
        <v>38265</v>
      </c>
      <c r="L1275" t="s">
        <v>9</v>
      </c>
      <c r="M1275" s="3">
        <v>79</v>
      </c>
      <c r="N1275" s="2">
        <v>239.43592811272299</v>
      </c>
    </row>
    <row r="1276" spans="9:14" x14ac:dyDescent="0.15">
      <c r="I1276">
        <v>1272</v>
      </c>
      <c r="J1276" t="s">
        <v>3</v>
      </c>
      <c r="K1276" s="1">
        <v>38650</v>
      </c>
      <c r="L1276" t="s">
        <v>12</v>
      </c>
      <c r="M1276" s="3">
        <v>-7</v>
      </c>
      <c r="N1276" s="2">
        <v>-18.401268878071164</v>
      </c>
    </row>
    <row r="1277" spans="9:14" x14ac:dyDescent="0.15">
      <c r="I1277">
        <v>1273</v>
      </c>
      <c r="J1277" t="s">
        <v>8</v>
      </c>
      <c r="K1277" s="1">
        <v>38628</v>
      </c>
      <c r="L1277" t="s">
        <v>9</v>
      </c>
      <c r="M1277" s="3">
        <v>72</v>
      </c>
      <c r="N1277" s="2">
        <v>217.35308480664631</v>
      </c>
    </row>
    <row r="1278" spans="9:14" x14ac:dyDescent="0.15">
      <c r="I1278">
        <v>1274</v>
      </c>
      <c r="J1278" t="s">
        <v>3</v>
      </c>
      <c r="K1278" s="1">
        <v>38265</v>
      </c>
      <c r="L1278" t="s">
        <v>13</v>
      </c>
      <c r="M1278" s="3">
        <v>91</v>
      </c>
      <c r="N1278" s="2">
        <v>275.36823907836589</v>
      </c>
    </row>
    <row r="1279" spans="9:14" x14ac:dyDescent="0.15">
      <c r="I1279">
        <v>1275</v>
      </c>
      <c r="J1279" t="s">
        <v>2</v>
      </c>
      <c r="K1279" s="1">
        <v>38056</v>
      </c>
      <c r="L1279" t="s">
        <v>12</v>
      </c>
      <c r="M1279" s="3">
        <v>57</v>
      </c>
      <c r="N1279" s="2">
        <v>173.47781647307619</v>
      </c>
    </row>
    <row r="1280" spans="9:14" x14ac:dyDescent="0.15">
      <c r="I1280">
        <v>1276</v>
      </c>
      <c r="J1280" t="s">
        <v>7</v>
      </c>
      <c r="K1280" s="1">
        <v>38254</v>
      </c>
      <c r="L1280" t="s">
        <v>9</v>
      </c>
      <c r="M1280" s="3">
        <v>-8</v>
      </c>
      <c r="N1280" s="2">
        <v>-21.82749489869385</v>
      </c>
    </row>
    <row r="1281" spans="9:14" x14ac:dyDescent="0.15">
      <c r="I1281">
        <v>1277</v>
      </c>
      <c r="J1281" t="s">
        <v>1</v>
      </c>
      <c r="K1281" s="1">
        <v>38606</v>
      </c>
      <c r="L1281" t="s">
        <v>9</v>
      </c>
      <c r="M1281" s="3">
        <v>45</v>
      </c>
      <c r="N1281" s="2">
        <v>136.95599465560394</v>
      </c>
    </row>
    <row r="1282" spans="9:14" x14ac:dyDescent="0.15">
      <c r="I1282">
        <v>1278</v>
      </c>
      <c r="J1282" t="s">
        <v>4</v>
      </c>
      <c r="K1282" s="1">
        <v>38287</v>
      </c>
      <c r="L1282" t="s">
        <v>11</v>
      </c>
      <c r="M1282" s="3">
        <v>92</v>
      </c>
      <c r="N1282" s="2">
        <v>278.04523769732305</v>
      </c>
    </row>
    <row r="1283" spans="9:14" x14ac:dyDescent="0.15">
      <c r="I1283">
        <v>1279</v>
      </c>
      <c r="J1283" t="s">
        <v>2</v>
      </c>
      <c r="K1283" s="1">
        <v>38232</v>
      </c>
      <c r="L1283" t="s">
        <v>12</v>
      </c>
      <c r="M1283" s="3">
        <v>28</v>
      </c>
      <c r="N1283" s="2">
        <v>86.457557586126669</v>
      </c>
    </row>
    <row r="1284" spans="9:14" x14ac:dyDescent="0.15">
      <c r="I1284">
        <v>1280</v>
      </c>
      <c r="J1284" t="s">
        <v>8</v>
      </c>
      <c r="K1284" s="1">
        <v>38375</v>
      </c>
      <c r="L1284" t="s">
        <v>13</v>
      </c>
      <c r="M1284" s="3">
        <v>79</v>
      </c>
      <c r="N1284" s="2">
        <v>238.98646128992934</v>
      </c>
    </row>
    <row r="1285" spans="9:14" x14ac:dyDescent="0.15">
      <c r="I1285">
        <v>1281</v>
      </c>
      <c r="J1285" t="s">
        <v>0</v>
      </c>
      <c r="K1285" s="1">
        <v>38375</v>
      </c>
      <c r="L1285" t="s">
        <v>9</v>
      </c>
      <c r="M1285" s="3">
        <v>92</v>
      </c>
      <c r="N1285" s="2">
        <v>277.53792590877345</v>
      </c>
    </row>
    <row r="1286" spans="9:14" x14ac:dyDescent="0.15">
      <c r="I1286">
        <v>1282</v>
      </c>
      <c r="J1286" t="s">
        <v>1</v>
      </c>
      <c r="K1286" s="1">
        <v>38100</v>
      </c>
      <c r="L1286" t="s">
        <v>12</v>
      </c>
      <c r="M1286" s="3">
        <v>11</v>
      </c>
      <c r="N1286" s="2">
        <v>34.457391966440007</v>
      </c>
    </row>
    <row r="1287" spans="9:14" x14ac:dyDescent="0.15">
      <c r="I1287">
        <v>1283</v>
      </c>
      <c r="J1287" t="s">
        <v>2</v>
      </c>
      <c r="K1287" s="1">
        <v>38375</v>
      </c>
      <c r="L1287" t="s">
        <v>11</v>
      </c>
      <c r="M1287" s="3">
        <v>23</v>
      </c>
      <c r="N1287" s="2">
        <v>70.69661605650883</v>
      </c>
    </row>
    <row r="1288" spans="9:14" x14ac:dyDescent="0.15">
      <c r="I1288">
        <v>1284</v>
      </c>
      <c r="J1288" t="s">
        <v>8</v>
      </c>
      <c r="K1288" s="1">
        <v>38826</v>
      </c>
      <c r="L1288" t="s">
        <v>11</v>
      </c>
      <c r="M1288" s="3">
        <v>2</v>
      </c>
      <c r="N1288" s="2">
        <v>8.8023773142157893</v>
      </c>
    </row>
    <row r="1289" spans="9:14" x14ac:dyDescent="0.15">
      <c r="I1289">
        <v>1285</v>
      </c>
      <c r="J1289" t="s">
        <v>5</v>
      </c>
      <c r="K1289" s="1">
        <v>38353</v>
      </c>
      <c r="L1289" t="s">
        <v>11</v>
      </c>
      <c r="M1289" s="3">
        <v>-2</v>
      </c>
      <c r="N1289" s="2">
        <v>-3.4493356628035219</v>
      </c>
    </row>
    <row r="1290" spans="9:14" x14ac:dyDescent="0.15">
      <c r="I1290">
        <v>1286</v>
      </c>
      <c r="J1290" t="s">
        <v>3</v>
      </c>
      <c r="K1290" s="1">
        <v>38507</v>
      </c>
      <c r="L1290" t="s">
        <v>10</v>
      </c>
      <c r="M1290" s="3">
        <v>33</v>
      </c>
      <c r="N1290" s="2">
        <v>100.68617590777907</v>
      </c>
    </row>
    <row r="1291" spans="9:14" x14ac:dyDescent="0.15">
      <c r="I1291">
        <v>1287</v>
      </c>
      <c r="J1291" t="s">
        <v>5</v>
      </c>
      <c r="K1291" s="1">
        <v>38892</v>
      </c>
      <c r="L1291" t="s">
        <v>12</v>
      </c>
      <c r="M1291" s="3">
        <v>10</v>
      </c>
      <c r="N1291" s="2">
        <v>31.300935347132732</v>
      </c>
    </row>
    <row r="1292" spans="9:14" x14ac:dyDescent="0.15">
      <c r="I1292">
        <v>1288</v>
      </c>
      <c r="J1292" t="s">
        <v>6</v>
      </c>
      <c r="K1292" s="1">
        <v>38320</v>
      </c>
      <c r="L1292" t="s">
        <v>13</v>
      </c>
      <c r="M1292" s="3">
        <v>84</v>
      </c>
      <c r="N1292" s="2">
        <v>254.11937205363179</v>
      </c>
    </row>
    <row r="1293" spans="9:14" x14ac:dyDescent="0.15">
      <c r="I1293">
        <v>1289</v>
      </c>
      <c r="J1293" t="s">
        <v>3</v>
      </c>
      <c r="K1293" s="1">
        <v>38342</v>
      </c>
      <c r="L1293" t="s">
        <v>12</v>
      </c>
      <c r="M1293" s="3">
        <v>88</v>
      </c>
      <c r="N1293" s="2">
        <v>266.39334034313327</v>
      </c>
    </row>
    <row r="1294" spans="9:14" x14ac:dyDescent="0.15">
      <c r="I1294">
        <v>1290</v>
      </c>
      <c r="J1294" t="s">
        <v>8</v>
      </c>
      <c r="K1294" s="1">
        <v>38540</v>
      </c>
      <c r="L1294" t="s">
        <v>11</v>
      </c>
      <c r="M1294" s="3">
        <v>95</v>
      </c>
      <c r="N1294" s="2">
        <v>286.60843219410157</v>
      </c>
    </row>
    <row r="1295" spans="9:14" x14ac:dyDescent="0.15">
      <c r="I1295">
        <v>1291</v>
      </c>
      <c r="J1295" t="s">
        <v>4</v>
      </c>
      <c r="K1295" s="1">
        <v>38397</v>
      </c>
      <c r="L1295" t="s">
        <v>12</v>
      </c>
      <c r="M1295" s="3">
        <v>3</v>
      </c>
      <c r="N1295" s="2">
        <v>11.903882144888168</v>
      </c>
    </row>
    <row r="1296" spans="9:14" x14ac:dyDescent="0.15">
      <c r="I1296">
        <v>1292</v>
      </c>
      <c r="J1296" t="s">
        <v>8</v>
      </c>
      <c r="K1296" s="1">
        <v>38837</v>
      </c>
      <c r="L1296" t="s">
        <v>10</v>
      </c>
      <c r="M1296" s="3">
        <v>72</v>
      </c>
      <c r="N1296" s="2">
        <v>217.58131494729014</v>
      </c>
    </row>
    <row r="1297" spans="9:14" x14ac:dyDescent="0.15">
      <c r="I1297">
        <v>1293</v>
      </c>
      <c r="J1297" t="s">
        <v>7</v>
      </c>
      <c r="K1297" s="1">
        <v>38419</v>
      </c>
      <c r="L1297" t="s">
        <v>11</v>
      </c>
      <c r="M1297" s="3">
        <v>58</v>
      </c>
      <c r="N1297" s="2">
        <v>176.65394036929425</v>
      </c>
    </row>
    <row r="1298" spans="9:14" x14ac:dyDescent="0.15">
      <c r="I1298">
        <v>1294</v>
      </c>
      <c r="J1298" t="s">
        <v>6</v>
      </c>
      <c r="K1298" s="1">
        <v>38144</v>
      </c>
      <c r="L1298" t="s">
        <v>11</v>
      </c>
      <c r="M1298" s="3">
        <v>19</v>
      </c>
      <c r="N1298" s="2">
        <v>59.643357077362239</v>
      </c>
    </row>
    <row r="1299" spans="9:14" x14ac:dyDescent="0.15">
      <c r="I1299">
        <v>1295</v>
      </c>
      <c r="J1299" t="s">
        <v>8</v>
      </c>
      <c r="K1299" s="1">
        <v>38463</v>
      </c>
      <c r="L1299" t="s">
        <v>12</v>
      </c>
      <c r="M1299" s="3">
        <v>35</v>
      </c>
      <c r="N1299" s="2">
        <v>106.5070892872302</v>
      </c>
    </row>
    <row r="1300" spans="9:14" x14ac:dyDescent="0.15">
      <c r="I1300">
        <v>1296</v>
      </c>
      <c r="J1300" t="s">
        <v>3</v>
      </c>
      <c r="K1300" s="1">
        <v>38320</v>
      </c>
      <c r="L1300" t="s">
        <v>9</v>
      </c>
      <c r="M1300" s="3">
        <v>80</v>
      </c>
      <c r="N1300" s="2">
        <v>242.63330478636408</v>
      </c>
    </row>
    <row r="1301" spans="9:14" x14ac:dyDescent="0.15">
      <c r="I1301">
        <v>1297</v>
      </c>
      <c r="J1301" t="s">
        <v>1</v>
      </c>
      <c r="K1301" s="1">
        <v>38012</v>
      </c>
      <c r="L1301" t="s">
        <v>11</v>
      </c>
      <c r="M1301" s="3">
        <v>26</v>
      </c>
      <c r="N1301" s="2">
        <v>80.048584690277565</v>
      </c>
    </row>
    <row r="1302" spans="9:14" x14ac:dyDescent="0.15">
      <c r="I1302">
        <v>1298</v>
      </c>
      <c r="J1302" t="s">
        <v>4</v>
      </c>
      <c r="K1302" s="1">
        <v>38540</v>
      </c>
      <c r="L1302" t="s">
        <v>10</v>
      </c>
      <c r="M1302" s="3">
        <v>93</v>
      </c>
      <c r="N1302" s="2">
        <v>280.93222292224493</v>
      </c>
    </row>
    <row r="1303" spans="9:14" x14ac:dyDescent="0.15">
      <c r="I1303">
        <v>1299</v>
      </c>
      <c r="J1303" t="s">
        <v>2</v>
      </c>
      <c r="K1303" s="1">
        <v>38661</v>
      </c>
      <c r="L1303" t="s">
        <v>11</v>
      </c>
      <c r="M1303" s="3">
        <v>29</v>
      </c>
      <c r="N1303" s="2">
        <v>90.05707639133125</v>
      </c>
    </row>
    <row r="1304" spans="9:14" x14ac:dyDescent="0.15">
      <c r="I1304">
        <v>1300</v>
      </c>
      <c r="J1304" t="s">
        <v>2</v>
      </c>
      <c r="K1304" s="1">
        <v>38100</v>
      </c>
      <c r="L1304" t="s">
        <v>9</v>
      </c>
      <c r="M1304" s="3">
        <v>88</v>
      </c>
      <c r="N1304" s="2">
        <v>266.36925289616937</v>
      </c>
    </row>
    <row r="1305" spans="9:14" x14ac:dyDescent="0.15">
      <c r="I1305">
        <v>1301</v>
      </c>
      <c r="J1305" t="s">
        <v>0</v>
      </c>
      <c r="K1305" s="1">
        <v>38947</v>
      </c>
      <c r="L1305" t="s">
        <v>11</v>
      </c>
      <c r="M1305" s="3">
        <v>5</v>
      </c>
      <c r="N1305" s="2">
        <v>16.874201572948834</v>
      </c>
    </row>
    <row r="1306" spans="9:14" x14ac:dyDescent="0.15">
      <c r="I1306">
        <v>1302</v>
      </c>
      <c r="J1306" t="s">
        <v>2</v>
      </c>
      <c r="K1306" s="1">
        <v>38573</v>
      </c>
      <c r="L1306" t="s">
        <v>12</v>
      </c>
      <c r="M1306" s="3">
        <v>64</v>
      </c>
      <c r="N1306" s="2">
        <v>194.02715866543952</v>
      </c>
    </row>
    <row r="1307" spans="9:14" x14ac:dyDescent="0.15">
      <c r="I1307">
        <v>1303</v>
      </c>
      <c r="J1307" t="s">
        <v>5</v>
      </c>
      <c r="K1307" s="1">
        <v>38716</v>
      </c>
      <c r="L1307" t="s">
        <v>10</v>
      </c>
      <c r="M1307" s="3">
        <v>38</v>
      </c>
      <c r="N1307" s="2">
        <v>116.02781429818391</v>
      </c>
    </row>
    <row r="1308" spans="9:14" x14ac:dyDescent="0.15">
      <c r="I1308">
        <v>1304</v>
      </c>
      <c r="J1308" t="s">
        <v>0</v>
      </c>
      <c r="K1308" s="1">
        <v>38276</v>
      </c>
      <c r="L1308" t="s">
        <v>9</v>
      </c>
      <c r="M1308" s="3">
        <v>21</v>
      </c>
      <c r="N1308" s="2">
        <v>65.60411466769294</v>
      </c>
    </row>
    <row r="1309" spans="9:14" x14ac:dyDescent="0.15">
      <c r="I1309">
        <v>1305</v>
      </c>
      <c r="J1309" t="s">
        <v>3</v>
      </c>
      <c r="K1309" s="1">
        <v>38551</v>
      </c>
      <c r="L1309" t="s">
        <v>11</v>
      </c>
      <c r="M1309" s="3">
        <v>61</v>
      </c>
      <c r="N1309" s="2">
        <v>184.44189289759726</v>
      </c>
    </row>
    <row r="1310" spans="9:14" x14ac:dyDescent="0.15">
      <c r="I1310">
        <v>1306</v>
      </c>
      <c r="J1310" t="s">
        <v>4</v>
      </c>
      <c r="K1310" s="1">
        <v>38111</v>
      </c>
      <c r="L1310" t="s">
        <v>11</v>
      </c>
      <c r="M1310" s="3">
        <v>53</v>
      </c>
      <c r="N1310" s="2">
        <v>160.79564195236946</v>
      </c>
    </row>
    <row r="1311" spans="9:14" x14ac:dyDescent="0.15">
      <c r="I1311">
        <v>1307</v>
      </c>
      <c r="J1311" t="s">
        <v>8</v>
      </c>
      <c r="K1311" s="1">
        <v>38749</v>
      </c>
      <c r="L1311" t="s">
        <v>12</v>
      </c>
      <c r="M1311" s="3">
        <v>28</v>
      </c>
      <c r="N1311" s="2">
        <v>86.322863736189788</v>
      </c>
    </row>
    <row r="1312" spans="9:14" x14ac:dyDescent="0.15">
      <c r="I1312">
        <v>1308</v>
      </c>
      <c r="J1312" t="s">
        <v>4</v>
      </c>
      <c r="K1312" s="1">
        <v>38958</v>
      </c>
      <c r="L1312" t="s">
        <v>12</v>
      </c>
      <c r="M1312" s="3">
        <v>39</v>
      </c>
      <c r="N1312" s="2">
        <v>119.49155300741148</v>
      </c>
    </row>
    <row r="1313" spans="9:14" x14ac:dyDescent="0.15">
      <c r="I1313">
        <v>1309</v>
      </c>
      <c r="J1313" t="s">
        <v>4</v>
      </c>
      <c r="K1313" s="1">
        <v>39024</v>
      </c>
      <c r="L1313" t="s">
        <v>10</v>
      </c>
      <c r="M1313" s="3">
        <v>89</v>
      </c>
      <c r="N1313" s="2">
        <v>268.72040652792879</v>
      </c>
    </row>
    <row r="1314" spans="9:14" x14ac:dyDescent="0.15">
      <c r="I1314">
        <v>1310</v>
      </c>
      <c r="J1314" t="s">
        <v>8</v>
      </c>
      <c r="K1314" s="1">
        <v>38100</v>
      </c>
      <c r="L1314" t="s">
        <v>9</v>
      </c>
      <c r="M1314" s="3">
        <v>72</v>
      </c>
      <c r="N1314" s="2">
        <v>218.15784251474992</v>
      </c>
    </row>
    <row r="1315" spans="9:14" x14ac:dyDescent="0.15">
      <c r="I1315">
        <v>1311</v>
      </c>
      <c r="J1315" t="s">
        <v>2</v>
      </c>
      <c r="K1315" s="1">
        <v>38221</v>
      </c>
      <c r="L1315" t="s">
        <v>10</v>
      </c>
      <c r="M1315" s="3">
        <v>63</v>
      </c>
      <c r="N1315" s="2">
        <v>191.07967670509865</v>
      </c>
    </row>
    <row r="1316" spans="9:14" x14ac:dyDescent="0.15">
      <c r="I1316">
        <v>1312</v>
      </c>
      <c r="J1316" t="s">
        <v>1</v>
      </c>
      <c r="K1316" s="1">
        <v>39079</v>
      </c>
      <c r="L1316" t="s">
        <v>9</v>
      </c>
      <c r="M1316" s="3">
        <v>47</v>
      </c>
      <c r="N1316" s="2">
        <v>142.1470812441363</v>
      </c>
    </row>
    <row r="1317" spans="9:14" x14ac:dyDescent="0.15">
      <c r="I1317">
        <v>1313</v>
      </c>
      <c r="J1317" t="s">
        <v>6</v>
      </c>
      <c r="K1317" s="1">
        <v>38540</v>
      </c>
      <c r="L1317" t="s">
        <v>12</v>
      </c>
      <c r="M1317" s="3">
        <v>8</v>
      </c>
      <c r="N1317" s="2">
        <v>25.619997788473359</v>
      </c>
    </row>
    <row r="1318" spans="9:14" x14ac:dyDescent="0.15">
      <c r="I1318">
        <v>1314</v>
      </c>
      <c r="J1318" t="s">
        <v>8</v>
      </c>
      <c r="K1318" s="1">
        <v>38298</v>
      </c>
      <c r="L1318" t="s">
        <v>10</v>
      </c>
      <c r="M1318" s="3">
        <v>88</v>
      </c>
      <c r="N1318" s="2">
        <v>265.56717139256853</v>
      </c>
    </row>
    <row r="1319" spans="9:14" x14ac:dyDescent="0.15">
      <c r="I1319">
        <v>1315</v>
      </c>
      <c r="J1319" t="s">
        <v>6</v>
      </c>
      <c r="K1319" s="1">
        <v>38221</v>
      </c>
      <c r="L1319" t="s">
        <v>10</v>
      </c>
      <c r="M1319" s="3">
        <v>12</v>
      </c>
      <c r="N1319" s="2">
        <v>37.818679875987904</v>
      </c>
    </row>
    <row r="1320" spans="9:14" x14ac:dyDescent="0.15">
      <c r="I1320">
        <v>1316</v>
      </c>
      <c r="J1320" t="s">
        <v>0</v>
      </c>
      <c r="K1320" s="1">
        <v>38683</v>
      </c>
      <c r="L1320" t="s">
        <v>12</v>
      </c>
      <c r="M1320" s="3">
        <v>79</v>
      </c>
      <c r="N1320" s="2">
        <v>239.17519679611866</v>
      </c>
    </row>
    <row r="1321" spans="9:14" x14ac:dyDescent="0.15">
      <c r="I1321">
        <v>1317</v>
      </c>
      <c r="J1321" t="s">
        <v>2</v>
      </c>
      <c r="K1321" s="1">
        <v>38155</v>
      </c>
      <c r="L1321" t="s">
        <v>13</v>
      </c>
      <c r="M1321" s="3">
        <v>39</v>
      </c>
      <c r="N1321" s="2">
        <v>118.94488443291594</v>
      </c>
    </row>
    <row r="1322" spans="9:14" x14ac:dyDescent="0.15">
      <c r="I1322">
        <v>1318</v>
      </c>
      <c r="J1322" t="s">
        <v>0</v>
      </c>
      <c r="K1322" s="1">
        <v>38760</v>
      </c>
      <c r="L1322" t="s">
        <v>12</v>
      </c>
      <c r="M1322" s="3">
        <v>61</v>
      </c>
      <c r="N1322" s="2">
        <v>185.05613481266943</v>
      </c>
    </row>
    <row r="1323" spans="9:14" x14ac:dyDescent="0.15">
      <c r="I1323">
        <v>1319</v>
      </c>
      <c r="J1323" t="s">
        <v>0</v>
      </c>
      <c r="K1323" s="1">
        <v>38980</v>
      </c>
      <c r="L1323" t="s">
        <v>10</v>
      </c>
      <c r="M1323" s="3">
        <v>12</v>
      </c>
      <c r="N1323" s="2">
        <v>38.275233428944262</v>
      </c>
    </row>
    <row r="1324" spans="9:14" x14ac:dyDescent="0.15">
      <c r="I1324">
        <v>1320</v>
      </c>
      <c r="J1324" t="s">
        <v>4</v>
      </c>
      <c r="K1324" s="1">
        <v>38298</v>
      </c>
      <c r="L1324" t="s">
        <v>12</v>
      </c>
      <c r="M1324" s="3">
        <v>25</v>
      </c>
      <c r="N1324" s="2">
        <v>76.651168243814681</v>
      </c>
    </row>
    <row r="1325" spans="9:14" x14ac:dyDescent="0.15">
      <c r="I1325">
        <v>1321</v>
      </c>
      <c r="J1325" t="s">
        <v>7</v>
      </c>
      <c r="K1325" s="1">
        <v>38683</v>
      </c>
      <c r="L1325" t="s">
        <v>9</v>
      </c>
      <c r="M1325" s="3">
        <v>82</v>
      </c>
      <c r="N1325" s="2">
        <v>248.26100726872076</v>
      </c>
    </row>
    <row r="1326" spans="9:14" x14ac:dyDescent="0.15">
      <c r="I1326">
        <v>1322</v>
      </c>
      <c r="J1326" t="s">
        <v>6</v>
      </c>
      <c r="K1326" s="1">
        <v>38342</v>
      </c>
      <c r="L1326" t="s">
        <v>12</v>
      </c>
      <c r="M1326" s="3">
        <v>4</v>
      </c>
      <c r="N1326" s="2">
        <v>14.48265398333678</v>
      </c>
    </row>
    <row r="1327" spans="9:14" x14ac:dyDescent="0.15">
      <c r="I1327">
        <v>1323</v>
      </c>
      <c r="J1327" t="s">
        <v>6</v>
      </c>
      <c r="K1327" s="1">
        <v>39068</v>
      </c>
      <c r="L1327" t="s">
        <v>13</v>
      </c>
      <c r="M1327" s="3">
        <v>22</v>
      </c>
      <c r="N1327" s="2">
        <v>68.226854446694333</v>
      </c>
    </row>
    <row r="1328" spans="9:14" x14ac:dyDescent="0.15">
      <c r="I1328">
        <v>1324</v>
      </c>
      <c r="J1328" t="s">
        <v>6</v>
      </c>
      <c r="K1328" s="1">
        <v>38991</v>
      </c>
      <c r="L1328" t="s">
        <v>12</v>
      </c>
      <c r="M1328" s="3">
        <v>81</v>
      </c>
      <c r="N1328" s="2">
        <v>244.6243385117169</v>
      </c>
    </row>
    <row r="1329" spans="9:14" x14ac:dyDescent="0.15">
      <c r="I1329">
        <v>1325</v>
      </c>
      <c r="J1329" t="s">
        <v>4</v>
      </c>
      <c r="K1329" s="1">
        <v>38408</v>
      </c>
      <c r="L1329" t="s">
        <v>11</v>
      </c>
      <c r="M1329" s="3">
        <v>34</v>
      </c>
      <c r="N1329" s="2">
        <v>103.85172808433745</v>
      </c>
    </row>
    <row r="1330" spans="9:14" x14ac:dyDescent="0.15">
      <c r="I1330">
        <v>1326</v>
      </c>
      <c r="J1330" t="s">
        <v>6</v>
      </c>
      <c r="K1330" s="1">
        <v>38309</v>
      </c>
      <c r="L1330" t="s">
        <v>12</v>
      </c>
      <c r="M1330" s="3">
        <v>89</v>
      </c>
      <c r="N1330" s="2">
        <v>269.74478909487721</v>
      </c>
    </row>
    <row r="1331" spans="9:14" x14ac:dyDescent="0.15">
      <c r="I1331">
        <v>1327</v>
      </c>
      <c r="J1331" t="s">
        <v>4</v>
      </c>
      <c r="K1331" s="1">
        <v>38386</v>
      </c>
      <c r="L1331" t="s">
        <v>12</v>
      </c>
      <c r="M1331" s="3">
        <v>6</v>
      </c>
      <c r="N1331" s="2">
        <v>20.30969002976488</v>
      </c>
    </row>
    <row r="1332" spans="9:14" x14ac:dyDescent="0.15">
      <c r="I1332">
        <v>1328</v>
      </c>
      <c r="J1332" t="s">
        <v>0</v>
      </c>
      <c r="K1332" s="1">
        <v>38529</v>
      </c>
      <c r="L1332" t="s">
        <v>11</v>
      </c>
      <c r="M1332" s="3">
        <v>78</v>
      </c>
      <c r="N1332" s="2">
        <v>235.99588000674026</v>
      </c>
    </row>
    <row r="1333" spans="9:14" x14ac:dyDescent="0.15">
      <c r="I1333">
        <v>1329</v>
      </c>
      <c r="J1333" t="s">
        <v>7</v>
      </c>
      <c r="K1333" s="1">
        <v>38485</v>
      </c>
      <c r="L1333" t="s">
        <v>10</v>
      </c>
      <c r="M1333" s="3">
        <v>9</v>
      </c>
      <c r="N1333" s="2">
        <v>28.852711267429889</v>
      </c>
    </row>
    <row r="1334" spans="9:14" x14ac:dyDescent="0.15">
      <c r="I1334">
        <v>1330</v>
      </c>
      <c r="J1334" t="s">
        <v>1</v>
      </c>
      <c r="K1334" s="1">
        <v>39079</v>
      </c>
      <c r="L1334" t="s">
        <v>12</v>
      </c>
      <c r="M1334" s="3">
        <v>9</v>
      </c>
      <c r="N1334" s="2">
        <v>29.718118103947955</v>
      </c>
    </row>
    <row r="1335" spans="9:14" x14ac:dyDescent="0.15">
      <c r="I1335">
        <v>1331</v>
      </c>
      <c r="J1335" t="s">
        <v>1</v>
      </c>
      <c r="K1335" s="1">
        <v>38826</v>
      </c>
      <c r="L1335" t="s">
        <v>9</v>
      </c>
      <c r="M1335" s="3">
        <v>73</v>
      </c>
      <c r="N1335" s="2">
        <v>221.1834991910803</v>
      </c>
    </row>
    <row r="1336" spans="9:14" x14ac:dyDescent="0.15">
      <c r="I1336">
        <v>1332</v>
      </c>
      <c r="J1336" t="s">
        <v>8</v>
      </c>
      <c r="K1336" s="1">
        <v>38001</v>
      </c>
      <c r="L1336" t="s">
        <v>10</v>
      </c>
      <c r="M1336" s="3">
        <v>13</v>
      </c>
      <c r="N1336" s="2">
        <v>41.92379193182763</v>
      </c>
    </row>
    <row r="1337" spans="9:14" x14ac:dyDescent="0.15">
      <c r="I1337">
        <v>1333</v>
      </c>
      <c r="J1337" t="s">
        <v>2</v>
      </c>
      <c r="K1337" s="1">
        <v>38419</v>
      </c>
      <c r="L1337" t="s">
        <v>11</v>
      </c>
      <c r="M1337" s="3">
        <v>14</v>
      </c>
      <c r="N1337" s="2">
        <v>43.998808725631548</v>
      </c>
    </row>
    <row r="1338" spans="9:14" x14ac:dyDescent="0.15">
      <c r="I1338">
        <v>1334</v>
      </c>
      <c r="J1338" t="s">
        <v>8</v>
      </c>
      <c r="K1338" s="1">
        <v>38496</v>
      </c>
      <c r="L1338" t="s">
        <v>13</v>
      </c>
      <c r="M1338" s="3">
        <v>33</v>
      </c>
      <c r="N1338" s="2">
        <v>100.31195245129152</v>
      </c>
    </row>
    <row r="1339" spans="9:14" x14ac:dyDescent="0.15">
      <c r="I1339">
        <v>1335</v>
      </c>
      <c r="J1339" t="s">
        <v>8</v>
      </c>
      <c r="K1339" s="1">
        <v>38078</v>
      </c>
      <c r="L1339" t="s">
        <v>9</v>
      </c>
      <c r="M1339" s="3">
        <v>17</v>
      </c>
      <c r="N1339" s="2">
        <v>53.123119444085049</v>
      </c>
    </row>
    <row r="1340" spans="9:14" x14ac:dyDescent="0.15">
      <c r="I1340">
        <v>1336</v>
      </c>
      <c r="J1340" t="s">
        <v>3</v>
      </c>
      <c r="K1340" s="1">
        <v>38903</v>
      </c>
      <c r="L1340" t="s">
        <v>10</v>
      </c>
      <c r="M1340" s="3">
        <v>9</v>
      </c>
      <c r="N1340" s="2">
        <v>29.501152192037068</v>
      </c>
    </row>
    <row r="1341" spans="9:14" x14ac:dyDescent="0.15">
      <c r="I1341">
        <v>1337</v>
      </c>
      <c r="J1341" t="s">
        <v>0</v>
      </c>
      <c r="K1341" s="1">
        <v>38771</v>
      </c>
      <c r="L1341" t="s">
        <v>12</v>
      </c>
      <c r="M1341" s="3">
        <v>15</v>
      </c>
      <c r="N1341" s="2">
        <v>47.311523584864588</v>
      </c>
    </row>
    <row r="1342" spans="9:14" x14ac:dyDescent="0.15">
      <c r="I1342">
        <v>1338</v>
      </c>
      <c r="J1342" t="s">
        <v>6</v>
      </c>
      <c r="K1342" s="1">
        <v>38969</v>
      </c>
      <c r="L1342" t="s">
        <v>13</v>
      </c>
      <c r="M1342" s="3">
        <v>50</v>
      </c>
      <c r="N1342" s="2">
        <v>152.31019163589909</v>
      </c>
    </row>
    <row r="1343" spans="9:14" x14ac:dyDescent="0.15">
      <c r="I1343">
        <v>1339</v>
      </c>
      <c r="J1343" t="s">
        <v>0</v>
      </c>
      <c r="K1343" s="1">
        <v>38298</v>
      </c>
      <c r="L1343" t="s">
        <v>13</v>
      </c>
      <c r="M1343" s="3">
        <v>13</v>
      </c>
      <c r="N1343" s="2">
        <v>40.558759872429341</v>
      </c>
    </row>
    <row r="1344" spans="9:14" x14ac:dyDescent="0.15">
      <c r="I1344">
        <v>1340</v>
      </c>
      <c r="J1344" t="s">
        <v>3</v>
      </c>
      <c r="K1344" s="1">
        <v>38243</v>
      </c>
      <c r="L1344" t="s">
        <v>10</v>
      </c>
      <c r="M1344" s="3">
        <v>24</v>
      </c>
      <c r="N1344" s="2">
        <v>74.731137309505712</v>
      </c>
    </row>
    <row r="1345" spans="9:14" x14ac:dyDescent="0.15">
      <c r="I1345">
        <v>1341</v>
      </c>
      <c r="J1345" t="s">
        <v>8</v>
      </c>
      <c r="K1345" s="1">
        <v>38716</v>
      </c>
      <c r="L1345" t="s">
        <v>10</v>
      </c>
      <c r="M1345" s="3">
        <v>77</v>
      </c>
      <c r="N1345" s="2">
        <v>232.89275600525073</v>
      </c>
    </row>
    <row r="1346" spans="9:14" x14ac:dyDescent="0.15">
      <c r="I1346">
        <v>1342</v>
      </c>
      <c r="J1346" t="s">
        <v>3</v>
      </c>
      <c r="K1346" s="1">
        <v>38848</v>
      </c>
      <c r="L1346" t="s">
        <v>12</v>
      </c>
      <c r="M1346" s="3">
        <v>21</v>
      </c>
      <c r="N1346" s="2">
        <v>65.214588826582613</v>
      </c>
    </row>
    <row r="1347" spans="9:14" x14ac:dyDescent="0.15">
      <c r="I1347">
        <v>1343</v>
      </c>
      <c r="J1347" t="s">
        <v>7</v>
      </c>
      <c r="K1347" s="1">
        <v>38540</v>
      </c>
      <c r="L1347" t="s">
        <v>12</v>
      </c>
      <c r="M1347" s="3">
        <v>80</v>
      </c>
      <c r="N1347" s="2">
        <v>240.76226876969253</v>
      </c>
    </row>
    <row r="1348" spans="9:14" x14ac:dyDescent="0.15">
      <c r="I1348">
        <v>1344</v>
      </c>
      <c r="J1348" t="s">
        <v>3</v>
      </c>
      <c r="K1348" s="1">
        <v>38298</v>
      </c>
      <c r="L1348" t="s">
        <v>12</v>
      </c>
      <c r="M1348" s="3">
        <v>56</v>
      </c>
      <c r="N1348" s="2">
        <v>170.50901918623575</v>
      </c>
    </row>
    <row r="1349" spans="9:14" x14ac:dyDescent="0.15">
      <c r="I1349">
        <v>1345</v>
      </c>
      <c r="J1349" t="s">
        <v>1</v>
      </c>
      <c r="K1349" s="1">
        <v>38452</v>
      </c>
      <c r="L1349" t="s">
        <v>9</v>
      </c>
      <c r="M1349" s="3">
        <v>28</v>
      </c>
      <c r="N1349" s="2">
        <v>86.002698245868487</v>
      </c>
    </row>
    <row r="1350" spans="9:14" x14ac:dyDescent="0.15">
      <c r="I1350">
        <v>1346</v>
      </c>
      <c r="J1350" t="s">
        <v>0</v>
      </c>
      <c r="K1350" s="1">
        <v>38683</v>
      </c>
      <c r="L1350" t="s">
        <v>13</v>
      </c>
      <c r="M1350" s="3">
        <v>50</v>
      </c>
      <c r="N1350" s="2">
        <v>151.56909496566121</v>
      </c>
    </row>
    <row r="1351" spans="9:14" x14ac:dyDescent="0.15">
      <c r="I1351">
        <v>1347</v>
      </c>
      <c r="J1351" t="s">
        <v>1</v>
      </c>
      <c r="K1351" s="1">
        <v>38452</v>
      </c>
      <c r="L1351" t="s">
        <v>11</v>
      </c>
      <c r="M1351" s="3">
        <v>23</v>
      </c>
      <c r="N1351" s="2">
        <v>71.405303018372905</v>
      </c>
    </row>
    <row r="1352" spans="9:14" x14ac:dyDescent="0.15">
      <c r="I1352">
        <v>1348</v>
      </c>
      <c r="J1352" t="s">
        <v>0</v>
      </c>
      <c r="K1352" s="1">
        <v>38144</v>
      </c>
      <c r="L1352" t="s">
        <v>10</v>
      </c>
      <c r="M1352" s="3">
        <v>77</v>
      </c>
      <c r="N1352" s="2">
        <v>232.85049996581651</v>
      </c>
    </row>
    <row r="1353" spans="9:14" x14ac:dyDescent="0.15">
      <c r="I1353">
        <v>1349</v>
      </c>
      <c r="J1353" t="s">
        <v>8</v>
      </c>
      <c r="K1353" s="1">
        <v>38034</v>
      </c>
      <c r="L1353" t="s">
        <v>12</v>
      </c>
      <c r="M1353" s="3">
        <v>56</v>
      </c>
      <c r="N1353" s="2">
        <v>170.26270071526079</v>
      </c>
    </row>
    <row r="1354" spans="9:14" x14ac:dyDescent="0.15">
      <c r="I1354">
        <v>1350</v>
      </c>
      <c r="J1354" t="s">
        <v>7</v>
      </c>
      <c r="K1354" s="1">
        <v>38826</v>
      </c>
      <c r="L1354" t="s">
        <v>10</v>
      </c>
      <c r="M1354" s="3">
        <v>26</v>
      </c>
      <c r="N1354" s="2">
        <v>79.7600955182413</v>
      </c>
    </row>
    <row r="1355" spans="9:14" x14ac:dyDescent="0.15">
      <c r="I1355">
        <v>1351</v>
      </c>
      <c r="J1355" t="s">
        <v>6</v>
      </c>
      <c r="K1355" s="1">
        <v>38034</v>
      </c>
      <c r="L1355" t="s">
        <v>9</v>
      </c>
      <c r="M1355" s="3">
        <v>18</v>
      </c>
      <c r="N1355" s="2">
        <v>55.931706737093798</v>
      </c>
    </row>
    <row r="1356" spans="9:14" x14ac:dyDescent="0.15">
      <c r="I1356">
        <v>1352</v>
      </c>
      <c r="J1356" t="s">
        <v>1</v>
      </c>
      <c r="K1356" s="1">
        <v>38034</v>
      </c>
      <c r="L1356" t="s">
        <v>10</v>
      </c>
      <c r="M1356" s="3">
        <v>40</v>
      </c>
      <c r="N1356" s="2">
        <v>121.10292526674064</v>
      </c>
    </row>
    <row r="1357" spans="9:14" x14ac:dyDescent="0.15">
      <c r="I1357">
        <v>1353</v>
      </c>
      <c r="J1357" t="s">
        <v>3</v>
      </c>
      <c r="K1357" s="1">
        <v>38034</v>
      </c>
      <c r="L1357" t="s">
        <v>12</v>
      </c>
      <c r="M1357" s="3">
        <v>75</v>
      </c>
      <c r="N1357" s="2">
        <v>227.06641475515934</v>
      </c>
    </row>
    <row r="1358" spans="9:14" x14ac:dyDescent="0.15">
      <c r="I1358">
        <v>1354</v>
      </c>
      <c r="J1358" t="s">
        <v>2</v>
      </c>
      <c r="K1358" s="1">
        <v>38408</v>
      </c>
      <c r="L1358" t="s">
        <v>13</v>
      </c>
      <c r="M1358" s="3">
        <v>61</v>
      </c>
      <c r="N1358" s="2">
        <v>184.75393471553485</v>
      </c>
    </row>
    <row r="1359" spans="9:14" x14ac:dyDescent="0.15">
      <c r="I1359">
        <v>1355</v>
      </c>
      <c r="J1359" t="s">
        <v>6</v>
      </c>
      <c r="K1359" s="1">
        <v>38342</v>
      </c>
      <c r="L1359" t="s">
        <v>13</v>
      </c>
      <c r="M1359" s="3">
        <v>35</v>
      </c>
      <c r="N1359" s="2">
        <v>106.73579162164692</v>
      </c>
    </row>
    <row r="1360" spans="9:14" x14ac:dyDescent="0.15">
      <c r="I1360">
        <v>1356</v>
      </c>
      <c r="J1360" t="s">
        <v>7</v>
      </c>
      <c r="K1360" s="1">
        <v>38562</v>
      </c>
      <c r="L1360" t="s">
        <v>9</v>
      </c>
      <c r="M1360" s="3">
        <v>42</v>
      </c>
      <c r="N1360" s="2">
        <v>127.74297314827389</v>
      </c>
    </row>
    <row r="1361" spans="9:14" x14ac:dyDescent="0.15">
      <c r="I1361">
        <v>1357</v>
      </c>
      <c r="J1361" t="s">
        <v>3</v>
      </c>
      <c r="K1361" s="1">
        <v>38309</v>
      </c>
      <c r="L1361" t="s">
        <v>11</v>
      </c>
      <c r="M1361" s="3">
        <v>47</v>
      </c>
      <c r="N1361" s="2">
        <v>142.58640939942609</v>
      </c>
    </row>
    <row r="1362" spans="9:14" x14ac:dyDescent="0.15">
      <c r="I1362">
        <v>1358</v>
      </c>
      <c r="J1362" t="s">
        <v>6</v>
      </c>
      <c r="K1362" s="1">
        <v>38276</v>
      </c>
      <c r="L1362" t="s">
        <v>12</v>
      </c>
      <c r="M1362" s="3">
        <v>74</v>
      </c>
      <c r="N1362" s="2">
        <v>225.01925553650543</v>
      </c>
    </row>
    <row r="1363" spans="9:14" x14ac:dyDescent="0.15">
      <c r="I1363">
        <v>1359</v>
      </c>
      <c r="J1363" t="s">
        <v>6</v>
      </c>
      <c r="K1363" s="1">
        <v>38496</v>
      </c>
      <c r="L1363" t="s">
        <v>12</v>
      </c>
      <c r="M1363" s="3">
        <v>55</v>
      </c>
      <c r="N1363" s="2">
        <v>166.25169597348713</v>
      </c>
    </row>
    <row r="1364" spans="9:14" x14ac:dyDescent="0.15">
      <c r="I1364">
        <v>1360</v>
      </c>
      <c r="J1364" t="s">
        <v>4</v>
      </c>
      <c r="K1364" s="1">
        <v>38617</v>
      </c>
      <c r="L1364" t="s">
        <v>10</v>
      </c>
      <c r="M1364" s="3">
        <v>87</v>
      </c>
      <c r="N1364" s="2">
        <v>263.11074857106775</v>
      </c>
    </row>
    <row r="1365" spans="9:14" x14ac:dyDescent="0.15">
      <c r="I1365">
        <v>1361</v>
      </c>
      <c r="J1365" t="s">
        <v>6</v>
      </c>
      <c r="K1365" s="1">
        <v>38166</v>
      </c>
      <c r="L1365" t="s">
        <v>9</v>
      </c>
      <c r="M1365" s="3">
        <v>75</v>
      </c>
      <c r="N1365" s="2">
        <v>227.32916430473495</v>
      </c>
    </row>
    <row r="1366" spans="9:14" x14ac:dyDescent="0.15">
      <c r="I1366">
        <v>1362</v>
      </c>
      <c r="J1366" t="s">
        <v>5</v>
      </c>
      <c r="K1366" s="1">
        <v>38881</v>
      </c>
      <c r="L1366" t="s">
        <v>9</v>
      </c>
      <c r="M1366" s="3">
        <v>91</v>
      </c>
      <c r="N1366" s="2">
        <v>274.60744776638205</v>
      </c>
    </row>
    <row r="1367" spans="9:14" x14ac:dyDescent="0.15">
      <c r="I1367">
        <v>1363</v>
      </c>
      <c r="J1367" t="s">
        <v>6</v>
      </c>
      <c r="K1367" s="1">
        <v>38705</v>
      </c>
      <c r="L1367" t="s">
        <v>10</v>
      </c>
      <c r="M1367" s="3">
        <v>79</v>
      </c>
      <c r="N1367" s="2">
        <v>238.20578213903983</v>
      </c>
    </row>
    <row r="1368" spans="9:14" x14ac:dyDescent="0.15">
      <c r="I1368">
        <v>1364</v>
      </c>
      <c r="J1368" t="s">
        <v>7</v>
      </c>
      <c r="K1368" s="1">
        <v>38155</v>
      </c>
      <c r="L1368" t="s">
        <v>12</v>
      </c>
      <c r="M1368" s="3">
        <v>31</v>
      </c>
      <c r="N1368" s="2">
        <v>94.915314626942674</v>
      </c>
    </row>
    <row r="1369" spans="9:14" x14ac:dyDescent="0.15">
      <c r="I1369">
        <v>1365</v>
      </c>
      <c r="J1369" t="s">
        <v>3</v>
      </c>
      <c r="K1369" s="1">
        <v>38265</v>
      </c>
      <c r="L1369" t="s">
        <v>11</v>
      </c>
      <c r="M1369" s="3">
        <v>36</v>
      </c>
      <c r="N1369" s="2">
        <v>109.8683994875889</v>
      </c>
    </row>
    <row r="1370" spans="9:14" x14ac:dyDescent="0.15">
      <c r="I1370">
        <v>1366</v>
      </c>
      <c r="J1370" t="s">
        <v>0</v>
      </c>
      <c r="K1370" s="1">
        <v>38166</v>
      </c>
      <c r="L1370" t="s">
        <v>12</v>
      </c>
      <c r="M1370" s="3">
        <v>80</v>
      </c>
      <c r="N1370" s="2">
        <v>242.06313932235889</v>
      </c>
    </row>
    <row r="1371" spans="9:14" x14ac:dyDescent="0.15">
      <c r="I1371">
        <v>1367</v>
      </c>
      <c r="J1371" t="s">
        <v>8</v>
      </c>
      <c r="K1371" s="1">
        <v>38793</v>
      </c>
      <c r="L1371" t="s">
        <v>10</v>
      </c>
      <c r="M1371" s="3">
        <v>32</v>
      </c>
      <c r="N1371" s="2">
        <v>98.105863423861408</v>
      </c>
    </row>
    <row r="1372" spans="9:14" x14ac:dyDescent="0.15">
      <c r="I1372">
        <v>1368</v>
      </c>
      <c r="J1372" t="s">
        <v>4</v>
      </c>
      <c r="K1372" s="1">
        <v>38166</v>
      </c>
      <c r="L1372" t="s">
        <v>13</v>
      </c>
      <c r="M1372" s="3">
        <v>29</v>
      </c>
      <c r="N1372" s="2">
        <v>89.172802878693929</v>
      </c>
    </row>
    <row r="1373" spans="9:14" x14ac:dyDescent="0.15">
      <c r="I1373">
        <v>1369</v>
      </c>
      <c r="J1373" t="s">
        <v>3</v>
      </c>
      <c r="K1373" s="1">
        <v>38485</v>
      </c>
      <c r="L1373" t="s">
        <v>9</v>
      </c>
      <c r="M1373" s="3">
        <v>64</v>
      </c>
      <c r="N1373" s="2">
        <v>193.51676296767636</v>
      </c>
    </row>
    <row r="1374" spans="9:14" x14ac:dyDescent="0.15">
      <c r="I1374">
        <v>1370</v>
      </c>
      <c r="J1374" t="s">
        <v>1</v>
      </c>
      <c r="K1374" s="1">
        <v>38056</v>
      </c>
      <c r="L1374" t="s">
        <v>10</v>
      </c>
      <c r="M1374" s="3">
        <v>27</v>
      </c>
      <c r="N1374" s="2">
        <v>83.668497347720773</v>
      </c>
    </row>
    <row r="1375" spans="9:14" x14ac:dyDescent="0.15">
      <c r="I1375">
        <v>1371</v>
      </c>
      <c r="J1375" t="s">
        <v>7</v>
      </c>
      <c r="K1375" s="1">
        <v>38254</v>
      </c>
      <c r="L1375" t="s">
        <v>10</v>
      </c>
      <c r="M1375" s="3">
        <v>36</v>
      </c>
      <c r="N1375" s="2">
        <v>109.80928591136637</v>
      </c>
    </row>
    <row r="1376" spans="9:14" x14ac:dyDescent="0.15">
      <c r="I1376">
        <v>1372</v>
      </c>
      <c r="J1376" t="s">
        <v>8</v>
      </c>
      <c r="K1376" s="1">
        <v>39057</v>
      </c>
      <c r="L1376" t="s">
        <v>12</v>
      </c>
      <c r="M1376" s="3">
        <v>36</v>
      </c>
      <c r="N1376" s="2">
        <v>109.45657773500436</v>
      </c>
    </row>
    <row r="1377" spans="9:14" x14ac:dyDescent="0.15">
      <c r="I1377">
        <v>1373</v>
      </c>
      <c r="J1377" t="s">
        <v>0</v>
      </c>
      <c r="K1377" s="1">
        <v>39013</v>
      </c>
      <c r="L1377" t="s">
        <v>12</v>
      </c>
      <c r="M1377" s="3">
        <v>32</v>
      </c>
      <c r="N1377" s="2">
        <v>97.343399963409695</v>
      </c>
    </row>
    <row r="1378" spans="9:14" x14ac:dyDescent="0.15">
      <c r="I1378">
        <v>1374</v>
      </c>
      <c r="J1378" t="s">
        <v>1</v>
      </c>
      <c r="K1378" s="1">
        <v>38958</v>
      </c>
      <c r="L1378" t="s">
        <v>12</v>
      </c>
      <c r="M1378" s="3">
        <v>9</v>
      </c>
      <c r="N1378" s="2">
        <v>29.173034652532433</v>
      </c>
    </row>
    <row r="1379" spans="9:14" x14ac:dyDescent="0.15">
      <c r="I1379">
        <v>1375</v>
      </c>
      <c r="J1379" t="s">
        <v>4</v>
      </c>
      <c r="K1379" s="1">
        <v>38859</v>
      </c>
      <c r="L1379" t="s">
        <v>9</v>
      </c>
      <c r="M1379" s="3">
        <v>78</v>
      </c>
      <c r="N1379" s="2">
        <v>235.63570757894917</v>
      </c>
    </row>
    <row r="1380" spans="9:14" x14ac:dyDescent="0.15">
      <c r="I1380">
        <v>1376</v>
      </c>
      <c r="J1380" t="s">
        <v>4</v>
      </c>
      <c r="K1380" s="1">
        <v>38375</v>
      </c>
      <c r="L1380" t="s">
        <v>13</v>
      </c>
      <c r="M1380" s="3">
        <v>55</v>
      </c>
      <c r="N1380" s="2">
        <v>167.69300314757166</v>
      </c>
    </row>
    <row r="1381" spans="9:14" x14ac:dyDescent="0.15">
      <c r="I1381">
        <v>1377</v>
      </c>
      <c r="J1381" t="s">
        <v>3</v>
      </c>
      <c r="K1381" s="1">
        <v>38221</v>
      </c>
      <c r="L1381" t="s">
        <v>12</v>
      </c>
      <c r="M1381" s="3">
        <v>79</v>
      </c>
      <c r="N1381" s="2">
        <v>239.25822655633112</v>
      </c>
    </row>
    <row r="1382" spans="9:14" x14ac:dyDescent="0.15">
      <c r="I1382">
        <v>1378</v>
      </c>
      <c r="J1382" t="s">
        <v>3</v>
      </c>
      <c r="K1382" s="1">
        <v>37990</v>
      </c>
      <c r="L1382" t="s">
        <v>11</v>
      </c>
      <c r="M1382" s="3">
        <v>9</v>
      </c>
      <c r="N1382" s="2">
        <v>29.36931208514244</v>
      </c>
    </row>
    <row r="1383" spans="9:14" x14ac:dyDescent="0.15">
      <c r="I1383">
        <v>1379</v>
      </c>
      <c r="J1383" t="s">
        <v>8</v>
      </c>
      <c r="K1383" s="1">
        <v>39068</v>
      </c>
      <c r="L1383" t="s">
        <v>9</v>
      </c>
      <c r="M1383" s="3">
        <v>4</v>
      </c>
      <c r="N1383" s="2">
        <v>14.276329980408619</v>
      </c>
    </row>
    <row r="1384" spans="9:14" x14ac:dyDescent="0.15">
      <c r="I1384">
        <v>1380</v>
      </c>
      <c r="J1384" t="s">
        <v>3</v>
      </c>
      <c r="K1384" s="1">
        <v>38826</v>
      </c>
      <c r="L1384" t="s">
        <v>12</v>
      </c>
      <c r="M1384" s="3">
        <v>6</v>
      </c>
      <c r="N1384" s="2">
        <v>20.165246376870389</v>
      </c>
    </row>
    <row r="1385" spans="9:14" x14ac:dyDescent="0.15">
      <c r="I1385">
        <v>1381</v>
      </c>
      <c r="J1385" t="s">
        <v>7</v>
      </c>
      <c r="K1385" s="1">
        <v>38496</v>
      </c>
      <c r="L1385" t="s">
        <v>11</v>
      </c>
      <c r="M1385" s="3">
        <v>18</v>
      </c>
      <c r="N1385" s="2">
        <v>55.91901948813328</v>
      </c>
    </row>
    <row r="1386" spans="9:14" x14ac:dyDescent="0.15">
      <c r="I1386">
        <v>1382</v>
      </c>
      <c r="J1386" t="s">
        <v>4</v>
      </c>
      <c r="K1386" s="1">
        <v>38650</v>
      </c>
      <c r="L1386" t="s">
        <v>11</v>
      </c>
      <c r="M1386" s="3">
        <v>14</v>
      </c>
      <c r="N1386" s="2">
        <v>44.491260768813873</v>
      </c>
    </row>
    <row r="1387" spans="9:14" x14ac:dyDescent="0.15">
      <c r="I1387">
        <v>1383</v>
      </c>
      <c r="J1387" t="s">
        <v>1</v>
      </c>
      <c r="K1387" s="1">
        <v>38947</v>
      </c>
      <c r="L1387" t="s">
        <v>10</v>
      </c>
      <c r="M1387" s="3">
        <v>91</v>
      </c>
      <c r="N1387" s="2">
        <v>275.50447930379551</v>
      </c>
    </row>
    <row r="1388" spans="9:14" x14ac:dyDescent="0.15">
      <c r="I1388">
        <v>1384</v>
      </c>
      <c r="J1388" t="s">
        <v>4</v>
      </c>
      <c r="K1388" s="1">
        <v>38694</v>
      </c>
      <c r="L1388" t="s">
        <v>11</v>
      </c>
      <c r="M1388" s="3">
        <v>74</v>
      </c>
      <c r="N1388" s="2">
        <v>224.07187760825997</v>
      </c>
    </row>
    <row r="1389" spans="9:14" x14ac:dyDescent="0.15">
      <c r="I1389">
        <v>1385</v>
      </c>
      <c r="J1389" t="s">
        <v>8</v>
      </c>
      <c r="K1389" s="1">
        <v>38199</v>
      </c>
      <c r="L1389" t="s">
        <v>10</v>
      </c>
      <c r="M1389" s="3">
        <v>47</v>
      </c>
      <c r="N1389" s="2">
        <v>143.8575641603407</v>
      </c>
    </row>
    <row r="1390" spans="9:14" x14ac:dyDescent="0.15">
      <c r="I1390">
        <v>1386</v>
      </c>
      <c r="J1390" t="s">
        <v>2</v>
      </c>
      <c r="K1390" s="1">
        <v>39024</v>
      </c>
      <c r="L1390" t="s">
        <v>9</v>
      </c>
      <c r="M1390" s="3">
        <v>28</v>
      </c>
      <c r="N1390" s="2">
        <v>86.468289532216389</v>
      </c>
    </row>
    <row r="1391" spans="9:14" x14ac:dyDescent="0.15">
      <c r="I1391">
        <v>1387</v>
      </c>
      <c r="J1391" t="s">
        <v>2</v>
      </c>
      <c r="K1391" s="1">
        <v>38980</v>
      </c>
      <c r="L1391" t="s">
        <v>11</v>
      </c>
      <c r="M1391" s="3">
        <v>21</v>
      </c>
      <c r="N1391" s="2">
        <v>64.784207766072953</v>
      </c>
    </row>
    <row r="1392" spans="9:14" x14ac:dyDescent="0.15">
      <c r="I1392">
        <v>1388</v>
      </c>
      <c r="J1392" t="s">
        <v>1</v>
      </c>
      <c r="K1392" s="1">
        <v>38441</v>
      </c>
      <c r="L1392" t="s">
        <v>9</v>
      </c>
      <c r="M1392" s="3">
        <v>52</v>
      </c>
      <c r="N1392" s="2">
        <v>157.69424365413772</v>
      </c>
    </row>
    <row r="1393" spans="9:14" x14ac:dyDescent="0.15">
      <c r="I1393">
        <v>1389</v>
      </c>
      <c r="J1393" t="s">
        <v>4</v>
      </c>
      <c r="K1393" s="1">
        <v>38166</v>
      </c>
      <c r="L1393" t="s">
        <v>13</v>
      </c>
      <c r="M1393" s="3">
        <v>33</v>
      </c>
      <c r="N1393" s="2">
        <v>101.08856134949143</v>
      </c>
    </row>
    <row r="1394" spans="9:14" x14ac:dyDescent="0.15">
      <c r="I1394">
        <v>1390</v>
      </c>
      <c r="J1394" t="s">
        <v>2</v>
      </c>
      <c r="K1394" s="1">
        <v>38023</v>
      </c>
      <c r="L1394" t="s">
        <v>12</v>
      </c>
      <c r="M1394" s="3">
        <v>-7</v>
      </c>
      <c r="N1394" s="2">
        <v>-19.437923961194201</v>
      </c>
    </row>
    <row r="1395" spans="9:14" x14ac:dyDescent="0.15">
      <c r="I1395">
        <v>1391</v>
      </c>
      <c r="J1395" t="s">
        <v>1</v>
      </c>
      <c r="K1395" s="1">
        <v>38078</v>
      </c>
      <c r="L1395" t="s">
        <v>10</v>
      </c>
      <c r="M1395" s="3">
        <v>12</v>
      </c>
      <c r="N1395" s="2">
        <v>38.2380881700618</v>
      </c>
    </row>
    <row r="1396" spans="9:14" x14ac:dyDescent="0.15">
      <c r="I1396">
        <v>1392</v>
      </c>
      <c r="J1396" t="s">
        <v>4</v>
      </c>
      <c r="K1396" s="1">
        <v>38045</v>
      </c>
      <c r="L1396" t="s">
        <v>11</v>
      </c>
      <c r="M1396" s="3">
        <v>1</v>
      </c>
      <c r="N1396" s="2">
        <v>4.5049727728030682</v>
      </c>
    </row>
    <row r="1397" spans="9:14" x14ac:dyDescent="0.15">
      <c r="I1397">
        <v>1393</v>
      </c>
      <c r="J1397" t="s">
        <v>8</v>
      </c>
      <c r="K1397" s="1">
        <v>38012</v>
      </c>
      <c r="L1397" t="s">
        <v>12</v>
      </c>
      <c r="M1397" s="3">
        <v>56</v>
      </c>
      <c r="N1397" s="2">
        <v>169.75770217815491</v>
      </c>
    </row>
    <row r="1398" spans="9:14" x14ac:dyDescent="0.15">
      <c r="I1398">
        <v>1394</v>
      </c>
      <c r="J1398" t="s">
        <v>1</v>
      </c>
      <c r="K1398" s="1">
        <v>38529</v>
      </c>
      <c r="L1398" t="s">
        <v>9</v>
      </c>
      <c r="M1398" s="3">
        <v>34</v>
      </c>
      <c r="N1398" s="2">
        <v>104.47706646910852</v>
      </c>
    </row>
    <row r="1399" spans="9:14" x14ac:dyDescent="0.15">
      <c r="I1399">
        <v>1395</v>
      </c>
      <c r="J1399" t="s">
        <v>7</v>
      </c>
      <c r="K1399" s="1">
        <v>38408</v>
      </c>
      <c r="L1399" t="s">
        <v>9</v>
      </c>
      <c r="M1399" s="3">
        <v>83</v>
      </c>
      <c r="N1399" s="2">
        <v>250.38974883045833</v>
      </c>
    </row>
    <row r="1400" spans="9:14" x14ac:dyDescent="0.15">
      <c r="I1400">
        <v>1396</v>
      </c>
      <c r="J1400" t="s">
        <v>2</v>
      </c>
      <c r="K1400" s="1">
        <v>38430</v>
      </c>
      <c r="L1400" t="s">
        <v>11</v>
      </c>
      <c r="M1400" s="3">
        <v>-4</v>
      </c>
      <c r="N1400" s="2">
        <v>-10.155624843092607</v>
      </c>
    </row>
    <row r="1401" spans="9:14" x14ac:dyDescent="0.15">
      <c r="I1401">
        <v>1397</v>
      </c>
      <c r="J1401" t="s">
        <v>1</v>
      </c>
      <c r="K1401" s="1">
        <v>38386</v>
      </c>
      <c r="L1401" t="s">
        <v>9</v>
      </c>
      <c r="M1401" s="3">
        <v>9</v>
      </c>
      <c r="N1401" s="2">
        <v>29.703664221901175</v>
      </c>
    </row>
    <row r="1402" spans="9:14" x14ac:dyDescent="0.15">
      <c r="I1402">
        <v>1398</v>
      </c>
      <c r="J1402" t="s">
        <v>3</v>
      </c>
      <c r="K1402" s="1">
        <v>38122</v>
      </c>
      <c r="L1402" t="s">
        <v>11</v>
      </c>
      <c r="M1402" s="3">
        <v>64</v>
      </c>
      <c r="N1402" s="2">
        <v>193.99078398349641</v>
      </c>
    </row>
    <row r="1403" spans="9:14" x14ac:dyDescent="0.15">
      <c r="I1403">
        <v>1399</v>
      </c>
      <c r="J1403" t="s">
        <v>7</v>
      </c>
      <c r="K1403" s="1">
        <v>38122</v>
      </c>
      <c r="L1403" t="s">
        <v>10</v>
      </c>
      <c r="M1403" s="3">
        <v>13</v>
      </c>
      <c r="N1403" s="2">
        <v>40.947424828889474</v>
      </c>
    </row>
    <row r="1404" spans="9:14" x14ac:dyDescent="0.15">
      <c r="I1404">
        <v>1400</v>
      </c>
      <c r="J1404" t="s">
        <v>4</v>
      </c>
      <c r="K1404" s="1">
        <v>38100</v>
      </c>
      <c r="L1404" t="s">
        <v>10</v>
      </c>
      <c r="M1404" s="3">
        <v>9</v>
      </c>
      <c r="N1404" s="2">
        <v>28.683682099948655</v>
      </c>
    </row>
    <row r="1405" spans="9:14" x14ac:dyDescent="0.15">
      <c r="I1405">
        <v>1401</v>
      </c>
      <c r="J1405" t="s">
        <v>5</v>
      </c>
      <c r="K1405" s="1">
        <v>38980</v>
      </c>
      <c r="L1405" t="s">
        <v>10</v>
      </c>
      <c r="M1405" s="3">
        <v>6</v>
      </c>
      <c r="N1405" s="2">
        <v>19.546281446888681</v>
      </c>
    </row>
    <row r="1406" spans="9:14" x14ac:dyDescent="0.15">
      <c r="I1406">
        <v>1402</v>
      </c>
      <c r="J1406" t="s">
        <v>6</v>
      </c>
      <c r="K1406" s="1">
        <v>38859</v>
      </c>
      <c r="L1406" t="s">
        <v>9</v>
      </c>
      <c r="M1406" s="3">
        <v>55</v>
      </c>
      <c r="N1406" s="2">
        <v>167.0921059108752</v>
      </c>
    </row>
    <row r="1407" spans="9:14" x14ac:dyDescent="0.15">
      <c r="I1407">
        <v>1403</v>
      </c>
      <c r="J1407" t="s">
        <v>0</v>
      </c>
      <c r="K1407" s="1">
        <v>38870</v>
      </c>
      <c r="L1407" t="s">
        <v>13</v>
      </c>
      <c r="M1407" s="3">
        <v>64</v>
      </c>
      <c r="N1407" s="2">
        <v>194.83490930195086</v>
      </c>
    </row>
    <row r="1408" spans="9:14" x14ac:dyDescent="0.15">
      <c r="I1408">
        <v>1404</v>
      </c>
      <c r="J1408" t="s">
        <v>8</v>
      </c>
      <c r="K1408" s="1">
        <v>38518</v>
      </c>
      <c r="L1408" t="s">
        <v>10</v>
      </c>
      <c r="M1408" s="3">
        <v>27</v>
      </c>
      <c r="N1408" s="2">
        <v>82.654748876430304</v>
      </c>
    </row>
    <row r="1409" spans="9:14" x14ac:dyDescent="0.15">
      <c r="I1409">
        <v>1405</v>
      </c>
      <c r="J1409" t="s">
        <v>0</v>
      </c>
      <c r="K1409" s="1">
        <v>38276</v>
      </c>
      <c r="L1409" t="s">
        <v>10</v>
      </c>
      <c r="M1409" s="3">
        <v>4</v>
      </c>
      <c r="N1409" s="2">
        <v>14.358367110038117</v>
      </c>
    </row>
    <row r="1410" spans="9:14" x14ac:dyDescent="0.15">
      <c r="I1410">
        <v>1406</v>
      </c>
      <c r="J1410" t="s">
        <v>7</v>
      </c>
      <c r="K1410" s="1">
        <v>38661</v>
      </c>
      <c r="L1410" t="s">
        <v>10</v>
      </c>
      <c r="M1410" s="3">
        <v>17</v>
      </c>
      <c r="N1410" s="2">
        <v>53.450226015325889</v>
      </c>
    </row>
    <row r="1411" spans="9:14" x14ac:dyDescent="0.15">
      <c r="I1411">
        <v>1407</v>
      </c>
      <c r="J1411" t="s">
        <v>6</v>
      </c>
      <c r="K1411" s="1">
        <v>38947</v>
      </c>
      <c r="L1411" t="s">
        <v>10</v>
      </c>
      <c r="M1411" s="3">
        <v>24</v>
      </c>
      <c r="N1411" s="2">
        <v>74.287417398883491</v>
      </c>
    </row>
    <row r="1412" spans="9:14" x14ac:dyDescent="0.15">
      <c r="I1412">
        <v>1408</v>
      </c>
      <c r="J1412" t="s">
        <v>5</v>
      </c>
      <c r="K1412" s="1">
        <v>38694</v>
      </c>
      <c r="L1412" t="s">
        <v>10</v>
      </c>
      <c r="M1412" s="3">
        <v>87</v>
      </c>
      <c r="N1412" s="2">
        <v>262.8805946680697</v>
      </c>
    </row>
    <row r="1413" spans="9:14" x14ac:dyDescent="0.15">
      <c r="I1413">
        <v>1409</v>
      </c>
      <c r="J1413" t="s">
        <v>4</v>
      </c>
      <c r="K1413" s="1">
        <v>38309</v>
      </c>
      <c r="L1413" t="s">
        <v>12</v>
      </c>
      <c r="M1413" s="3">
        <v>10</v>
      </c>
      <c r="N1413" s="2">
        <v>31.759227784320323</v>
      </c>
    </row>
    <row r="1414" spans="9:14" x14ac:dyDescent="0.15">
      <c r="I1414">
        <v>1410</v>
      </c>
      <c r="J1414" t="s">
        <v>1</v>
      </c>
      <c r="K1414" s="1">
        <v>38276</v>
      </c>
      <c r="L1414" t="s">
        <v>12</v>
      </c>
      <c r="M1414" s="3">
        <v>0</v>
      </c>
      <c r="N1414" s="2">
        <v>1.8311339455634805</v>
      </c>
    </row>
    <row r="1415" spans="9:14" x14ac:dyDescent="0.15">
      <c r="I1415">
        <v>1411</v>
      </c>
      <c r="J1415" t="s">
        <v>1</v>
      </c>
      <c r="K1415" s="1">
        <v>38375</v>
      </c>
      <c r="L1415" t="s">
        <v>10</v>
      </c>
      <c r="M1415" s="3">
        <v>73</v>
      </c>
      <c r="N1415" s="2">
        <v>221.0091797499388</v>
      </c>
    </row>
    <row r="1416" spans="9:14" x14ac:dyDescent="0.15">
      <c r="I1416">
        <v>1412</v>
      </c>
      <c r="J1416" t="s">
        <v>3</v>
      </c>
      <c r="K1416" s="1">
        <v>38067</v>
      </c>
      <c r="L1416" t="s">
        <v>10</v>
      </c>
      <c r="M1416" s="3">
        <v>66</v>
      </c>
      <c r="N1416" s="2">
        <v>200.12198246327054</v>
      </c>
    </row>
    <row r="1417" spans="9:14" x14ac:dyDescent="0.15">
      <c r="I1417">
        <v>1413</v>
      </c>
      <c r="J1417" t="s">
        <v>8</v>
      </c>
      <c r="K1417" s="1">
        <v>38947</v>
      </c>
      <c r="L1417" t="s">
        <v>10</v>
      </c>
      <c r="M1417" s="3">
        <v>70</v>
      </c>
      <c r="N1417" s="2">
        <v>211.75333647455852</v>
      </c>
    </row>
    <row r="1418" spans="9:14" x14ac:dyDescent="0.15">
      <c r="I1418">
        <v>1414</v>
      </c>
      <c r="J1418" t="s">
        <v>4</v>
      </c>
      <c r="K1418" s="1">
        <v>38331</v>
      </c>
      <c r="L1418" t="s">
        <v>9</v>
      </c>
      <c r="M1418" s="3">
        <v>78</v>
      </c>
      <c r="N1418" s="2">
        <v>235.90596023209099</v>
      </c>
    </row>
    <row r="1419" spans="9:14" x14ac:dyDescent="0.15">
      <c r="I1419">
        <v>1415</v>
      </c>
      <c r="J1419" t="s">
        <v>0</v>
      </c>
      <c r="K1419" s="1">
        <v>38661</v>
      </c>
      <c r="L1419" t="s">
        <v>12</v>
      </c>
      <c r="M1419" s="3">
        <v>22</v>
      </c>
      <c r="N1419" s="2">
        <v>66.965065793990505</v>
      </c>
    </row>
    <row r="1420" spans="9:14" x14ac:dyDescent="0.15">
      <c r="I1420">
        <v>1416</v>
      </c>
      <c r="J1420" t="s">
        <v>5</v>
      </c>
      <c r="K1420" s="1">
        <v>38265</v>
      </c>
      <c r="L1420" t="s">
        <v>12</v>
      </c>
      <c r="M1420" s="3">
        <v>21</v>
      </c>
      <c r="N1420" s="2">
        <v>65.217462708012192</v>
      </c>
    </row>
    <row r="1421" spans="9:14" x14ac:dyDescent="0.15">
      <c r="I1421">
        <v>1417</v>
      </c>
      <c r="J1421" t="s">
        <v>8</v>
      </c>
      <c r="K1421" s="1">
        <v>38276</v>
      </c>
      <c r="L1421" t="s">
        <v>10</v>
      </c>
      <c r="M1421" s="3">
        <v>8</v>
      </c>
      <c r="N1421" s="2">
        <v>25.824952877477109</v>
      </c>
    </row>
    <row r="1422" spans="9:14" x14ac:dyDescent="0.15">
      <c r="I1422">
        <v>1418</v>
      </c>
      <c r="J1422" t="s">
        <v>6</v>
      </c>
      <c r="K1422" s="1">
        <v>38034</v>
      </c>
      <c r="L1422" t="s">
        <v>12</v>
      </c>
      <c r="M1422" s="3">
        <v>62</v>
      </c>
      <c r="N1422" s="2">
        <v>187.80112722106594</v>
      </c>
    </row>
    <row r="1423" spans="9:14" x14ac:dyDescent="0.15">
      <c r="I1423">
        <v>1419</v>
      </c>
      <c r="J1423" t="s">
        <v>2</v>
      </c>
      <c r="K1423" s="1">
        <v>38848</v>
      </c>
      <c r="L1423" t="s">
        <v>12</v>
      </c>
      <c r="M1423" s="3">
        <v>81</v>
      </c>
      <c r="N1423" s="2">
        <v>244.50746507200088</v>
      </c>
    </row>
    <row r="1424" spans="9:14" x14ac:dyDescent="0.15">
      <c r="I1424">
        <v>1420</v>
      </c>
      <c r="J1424" t="s">
        <v>4</v>
      </c>
      <c r="K1424" s="1">
        <v>38342</v>
      </c>
      <c r="L1424" t="s">
        <v>10</v>
      </c>
      <c r="M1424" s="3">
        <v>72</v>
      </c>
      <c r="N1424" s="2">
        <v>218.17265722795503</v>
      </c>
    </row>
    <row r="1425" spans="9:14" x14ac:dyDescent="0.15">
      <c r="I1425">
        <v>1421</v>
      </c>
      <c r="J1425" t="s">
        <v>3</v>
      </c>
      <c r="K1425" s="1">
        <v>39002</v>
      </c>
      <c r="L1425" t="s">
        <v>11</v>
      </c>
      <c r="M1425" s="3">
        <v>13</v>
      </c>
      <c r="N1425" s="2">
        <v>41.356875522020459</v>
      </c>
    </row>
    <row r="1426" spans="9:14" x14ac:dyDescent="0.15">
      <c r="I1426">
        <v>1422</v>
      </c>
      <c r="J1426" t="s">
        <v>8</v>
      </c>
      <c r="K1426" s="1">
        <v>38595</v>
      </c>
      <c r="L1426" t="s">
        <v>13</v>
      </c>
      <c r="M1426" s="3">
        <v>52</v>
      </c>
      <c r="N1426" s="2">
        <v>157.41873231061072</v>
      </c>
    </row>
    <row r="1427" spans="9:14" x14ac:dyDescent="0.15">
      <c r="I1427">
        <v>1423</v>
      </c>
      <c r="J1427" t="s">
        <v>1</v>
      </c>
      <c r="K1427" s="1">
        <v>38738</v>
      </c>
      <c r="L1427" t="s">
        <v>11</v>
      </c>
      <c r="M1427" s="3">
        <v>49</v>
      </c>
      <c r="N1427" s="2">
        <v>148.10679359164916</v>
      </c>
    </row>
    <row r="1428" spans="9:14" x14ac:dyDescent="0.15">
      <c r="I1428">
        <v>1424</v>
      </c>
      <c r="J1428" t="s">
        <v>1</v>
      </c>
      <c r="K1428" s="1">
        <v>38067</v>
      </c>
      <c r="L1428" t="s">
        <v>11</v>
      </c>
      <c r="M1428" s="3">
        <v>82</v>
      </c>
      <c r="N1428" s="2">
        <v>248.16915651860171</v>
      </c>
    </row>
    <row r="1429" spans="9:14" x14ac:dyDescent="0.15">
      <c r="I1429">
        <v>1425</v>
      </c>
      <c r="J1429" t="s">
        <v>4</v>
      </c>
      <c r="K1429" s="1">
        <v>38815</v>
      </c>
      <c r="L1429" t="s">
        <v>11</v>
      </c>
      <c r="M1429" s="3">
        <v>5</v>
      </c>
      <c r="N1429" s="2">
        <v>17.015690322490627</v>
      </c>
    </row>
    <row r="1430" spans="9:14" x14ac:dyDescent="0.15">
      <c r="I1430">
        <v>1426</v>
      </c>
      <c r="J1430" t="s">
        <v>0</v>
      </c>
      <c r="K1430" s="1">
        <v>38617</v>
      </c>
      <c r="L1430" t="s">
        <v>12</v>
      </c>
      <c r="M1430" s="3">
        <v>45</v>
      </c>
      <c r="N1430" s="2">
        <v>136.85630897508477</v>
      </c>
    </row>
    <row r="1431" spans="9:14" x14ac:dyDescent="0.15">
      <c r="I1431">
        <v>1427</v>
      </c>
      <c r="J1431" t="s">
        <v>5</v>
      </c>
      <c r="K1431" s="1">
        <v>38694</v>
      </c>
      <c r="L1431" t="s">
        <v>12</v>
      </c>
      <c r="M1431" s="3">
        <v>-10</v>
      </c>
      <c r="N1431" s="2">
        <v>-27.350902782330042</v>
      </c>
    </row>
    <row r="1432" spans="9:14" x14ac:dyDescent="0.15">
      <c r="I1432">
        <v>1428</v>
      </c>
      <c r="J1432" t="s">
        <v>6</v>
      </c>
      <c r="K1432" s="1">
        <v>39057</v>
      </c>
      <c r="L1432" t="s">
        <v>11</v>
      </c>
      <c r="M1432" s="3">
        <v>53</v>
      </c>
      <c r="N1432" s="2">
        <v>160.85164058435507</v>
      </c>
    </row>
    <row r="1433" spans="9:14" x14ac:dyDescent="0.15">
      <c r="I1433">
        <v>1429</v>
      </c>
      <c r="J1433" t="s">
        <v>3</v>
      </c>
      <c r="K1433" s="1">
        <v>38441</v>
      </c>
      <c r="L1433" t="s">
        <v>13</v>
      </c>
      <c r="M1433" s="3">
        <v>24</v>
      </c>
      <c r="N1433" s="2">
        <v>73.616064458141409</v>
      </c>
    </row>
    <row r="1434" spans="9:14" x14ac:dyDescent="0.15">
      <c r="I1434">
        <v>1430</v>
      </c>
      <c r="J1434" t="s">
        <v>1</v>
      </c>
      <c r="K1434" s="1">
        <v>38914</v>
      </c>
      <c r="L1434" t="s">
        <v>10</v>
      </c>
      <c r="M1434" s="3">
        <v>27</v>
      </c>
      <c r="N1434" s="2">
        <v>83.23212229417976</v>
      </c>
    </row>
    <row r="1435" spans="9:14" x14ac:dyDescent="0.15">
      <c r="I1435">
        <v>1431</v>
      </c>
      <c r="J1435" t="s">
        <v>0</v>
      </c>
      <c r="K1435" s="1">
        <v>38837</v>
      </c>
      <c r="L1435" t="s">
        <v>9</v>
      </c>
      <c r="M1435" s="3">
        <v>52</v>
      </c>
      <c r="N1435" s="2">
        <v>158.63001694196066</v>
      </c>
    </row>
    <row r="1436" spans="9:14" x14ac:dyDescent="0.15">
      <c r="I1436">
        <v>1432</v>
      </c>
      <c r="J1436" t="s">
        <v>4</v>
      </c>
      <c r="K1436" s="1">
        <v>39013</v>
      </c>
      <c r="L1436" t="s">
        <v>9</v>
      </c>
      <c r="M1436" s="3">
        <v>0</v>
      </c>
      <c r="N1436" s="2">
        <v>1.7815728693963861</v>
      </c>
    </row>
    <row r="1437" spans="9:14" x14ac:dyDescent="0.15">
      <c r="I1437">
        <v>1433</v>
      </c>
      <c r="J1437" t="s">
        <v>1</v>
      </c>
      <c r="K1437" s="1">
        <v>38155</v>
      </c>
      <c r="L1437" t="s">
        <v>12</v>
      </c>
      <c r="M1437" s="3">
        <v>92</v>
      </c>
      <c r="N1437" s="2">
        <v>278.65173044503393</v>
      </c>
    </row>
    <row r="1438" spans="9:14" x14ac:dyDescent="0.15">
      <c r="I1438">
        <v>1434</v>
      </c>
      <c r="J1438" t="s">
        <v>5</v>
      </c>
      <c r="K1438" s="1">
        <v>39013</v>
      </c>
      <c r="L1438" t="s">
        <v>12</v>
      </c>
      <c r="M1438" s="3">
        <v>22</v>
      </c>
      <c r="N1438" s="2">
        <v>67.706785390101601</v>
      </c>
    </row>
    <row r="1439" spans="9:14" x14ac:dyDescent="0.15">
      <c r="I1439">
        <v>1435</v>
      </c>
      <c r="J1439" t="s">
        <v>7</v>
      </c>
      <c r="K1439" s="1">
        <v>38837</v>
      </c>
      <c r="L1439" t="s">
        <v>11</v>
      </c>
      <c r="M1439" s="3">
        <v>67</v>
      </c>
      <c r="N1439" s="2">
        <v>202.90370530776514</v>
      </c>
    </row>
    <row r="1440" spans="9:14" x14ac:dyDescent="0.15">
      <c r="I1440">
        <v>1436</v>
      </c>
      <c r="J1440" t="s">
        <v>4</v>
      </c>
      <c r="K1440" s="1">
        <v>38639</v>
      </c>
      <c r="L1440" t="s">
        <v>12</v>
      </c>
      <c r="M1440" s="3">
        <v>7</v>
      </c>
      <c r="N1440" s="2">
        <v>23.034327347174614</v>
      </c>
    </row>
    <row r="1441" spans="9:14" x14ac:dyDescent="0.15">
      <c r="I1441">
        <v>1437</v>
      </c>
      <c r="J1441" t="s">
        <v>7</v>
      </c>
      <c r="K1441" s="1">
        <v>38122</v>
      </c>
      <c r="L1441" t="s">
        <v>11</v>
      </c>
      <c r="M1441" s="3">
        <v>-10</v>
      </c>
      <c r="N1441" s="2">
        <v>-27.962734354764166</v>
      </c>
    </row>
    <row r="1442" spans="9:14" x14ac:dyDescent="0.15">
      <c r="I1442">
        <v>1438</v>
      </c>
      <c r="J1442" t="s">
        <v>2</v>
      </c>
      <c r="K1442" s="1">
        <v>38947</v>
      </c>
      <c r="L1442" t="s">
        <v>12</v>
      </c>
      <c r="M1442" s="3">
        <v>10</v>
      </c>
      <c r="N1442" s="2">
        <v>31.667217946817743</v>
      </c>
    </row>
    <row r="1443" spans="9:14" x14ac:dyDescent="0.15">
      <c r="I1443">
        <v>1439</v>
      </c>
      <c r="J1443" t="s">
        <v>1</v>
      </c>
      <c r="K1443" s="1">
        <v>38529</v>
      </c>
      <c r="L1443" t="s">
        <v>9</v>
      </c>
      <c r="M1443" s="3">
        <v>15</v>
      </c>
      <c r="N1443" s="2">
        <v>46.477551483409364</v>
      </c>
    </row>
    <row r="1444" spans="9:14" x14ac:dyDescent="0.15">
      <c r="I1444">
        <v>1440</v>
      </c>
      <c r="J1444" t="s">
        <v>6</v>
      </c>
      <c r="K1444" s="1">
        <v>38529</v>
      </c>
      <c r="L1444" t="s">
        <v>13</v>
      </c>
      <c r="M1444" s="3">
        <v>0</v>
      </c>
      <c r="N1444" s="2">
        <v>2.1309055922780948</v>
      </c>
    </row>
    <row r="1445" spans="9:14" x14ac:dyDescent="0.15">
      <c r="I1445">
        <v>1441</v>
      </c>
      <c r="J1445" t="s">
        <v>4</v>
      </c>
      <c r="K1445" s="1">
        <v>38793</v>
      </c>
      <c r="L1445" t="s">
        <v>9</v>
      </c>
      <c r="M1445" s="3">
        <v>93</v>
      </c>
      <c r="N1445" s="2">
        <v>280.90891395594838</v>
      </c>
    </row>
    <row r="1446" spans="9:14" x14ac:dyDescent="0.15">
      <c r="I1446">
        <v>1442</v>
      </c>
      <c r="J1446" t="s">
        <v>3</v>
      </c>
      <c r="K1446" s="1">
        <v>38738</v>
      </c>
      <c r="L1446" t="s">
        <v>9</v>
      </c>
      <c r="M1446" s="3">
        <v>57</v>
      </c>
      <c r="N1446" s="2">
        <v>172.62177980113168</v>
      </c>
    </row>
    <row r="1447" spans="9:14" x14ac:dyDescent="0.15">
      <c r="I1447">
        <v>1443</v>
      </c>
      <c r="J1447" t="s">
        <v>1</v>
      </c>
      <c r="K1447" s="1">
        <v>38254</v>
      </c>
      <c r="L1447" t="s">
        <v>10</v>
      </c>
      <c r="M1447" s="3">
        <v>69</v>
      </c>
      <c r="N1447" s="2">
        <v>208.76551379204989</v>
      </c>
    </row>
    <row r="1448" spans="9:14" x14ac:dyDescent="0.15">
      <c r="I1448">
        <v>1444</v>
      </c>
      <c r="J1448" t="s">
        <v>7</v>
      </c>
      <c r="K1448" s="1">
        <v>38716</v>
      </c>
      <c r="L1448" t="s">
        <v>9</v>
      </c>
      <c r="M1448" s="3">
        <v>53</v>
      </c>
      <c r="N1448" s="2">
        <v>161.64817183248223</v>
      </c>
    </row>
    <row r="1449" spans="9:14" x14ac:dyDescent="0.15">
      <c r="I1449">
        <v>1445</v>
      </c>
      <c r="J1449" t="s">
        <v>6</v>
      </c>
      <c r="K1449" s="1">
        <v>39013</v>
      </c>
      <c r="L1449" t="s">
        <v>13</v>
      </c>
      <c r="M1449" s="3">
        <v>67</v>
      </c>
      <c r="N1449" s="2">
        <v>203.5655299819017</v>
      </c>
    </row>
    <row r="1450" spans="9:14" x14ac:dyDescent="0.15">
      <c r="I1450">
        <v>1446</v>
      </c>
      <c r="J1450" t="s">
        <v>7</v>
      </c>
      <c r="K1450" s="1">
        <v>38078</v>
      </c>
      <c r="L1450" t="s">
        <v>11</v>
      </c>
      <c r="M1450" s="3">
        <v>23</v>
      </c>
      <c r="N1450" s="2">
        <v>70.708152765050201</v>
      </c>
    </row>
    <row r="1451" spans="9:14" x14ac:dyDescent="0.15">
      <c r="I1451">
        <v>1447</v>
      </c>
      <c r="J1451" t="s">
        <v>2</v>
      </c>
      <c r="K1451" s="1">
        <v>38155</v>
      </c>
      <c r="L1451" t="s">
        <v>12</v>
      </c>
      <c r="M1451" s="3">
        <v>43</v>
      </c>
      <c r="N1451" s="2">
        <v>131.16019141346013</v>
      </c>
    </row>
    <row r="1452" spans="9:14" x14ac:dyDescent="0.15">
      <c r="I1452">
        <v>1448</v>
      </c>
      <c r="J1452" t="s">
        <v>0</v>
      </c>
      <c r="K1452" s="1">
        <v>39013</v>
      </c>
      <c r="L1452" t="s">
        <v>10</v>
      </c>
      <c r="M1452" s="3">
        <v>69</v>
      </c>
      <c r="N1452" s="2">
        <v>209.39515625574666</v>
      </c>
    </row>
    <row r="1453" spans="9:14" x14ac:dyDescent="0.15">
      <c r="I1453">
        <v>1449</v>
      </c>
      <c r="J1453" t="s">
        <v>3</v>
      </c>
      <c r="K1453" s="1">
        <v>38991</v>
      </c>
      <c r="L1453" t="s">
        <v>13</v>
      </c>
      <c r="M1453" s="3">
        <v>45</v>
      </c>
      <c r="N1453" s="2">
        <v>136.50342219375273</v>
      </c>
    </row>
    <row r="1454" spans="9:14" x14ac:dyDescent="0.15">
      <c r="I1454">
        <v>1450</v>
      </c>
      <c r="J1454" t="s">
        <v>4</v>
      </c>
      <c r="K1454" s="1">
        <v>38661</v>
      </c>
      <c r="L1454" t="s">
        <v>11</v>
      </c>
      <c r="M1454" s="3">
        <v>70</v>
      </c>
      <c r="N1454" s="2">
        <v>211.70097135907523</v>
      </c>
    </row>
    <row r="1455" spans="9:14" x14ac:dyDescent="0.15">
      <c r="I1455">
        <v>1451</v>
      </c>
      <c r="J1455" t="s">
        <v>2</v>
      </c>
      <c r="K1455" s="1">
        <v>39013</v>
      </c>
      <c r="L1455" t="s">
        <v>12</v>
      </c>
      <c r="M1455" s="3">
        <v>91</v>
      </c>
      <c r="N1455" s="2">
        <v>274.50140154950032</v>
      </c>
    </row>
    <row r="1456" spans="9:14" x14ac:dyDescent="0.15">
      <c r="I1456">
        <v>1452</v>
      </c>
      <c r="J1456" t="s">
        <v>5</v>
      </c>
      <c r="K1456" s="1">
        <v>39068</v>
      </c>
      <c r="L1456" t="s">
        <v>12</v>
      </c>
      <c r="M1456" s="3">
        <v>33</v>
      </c>
      <c r="N1456" s="2">
        <v>100.48140496751634</v>
      </c>
    </row>
    <row r="1457" spans="9:14" x14ac:dyDescent="0.15">
      <c r="I1457">
        <v>1453</v>
      </c>
      <c r="J1457" t="s">
        <v>2</v>
      </c>
      <c r="K1457" s="1">
        <v>38936</v>
      </c>
      <c r="L1457" t="s">
        <v>9</v>
      </c>
      <c r="M1457" s="3">
        <v>90</v>
      </c>
      <c r="N1457" s="2">
        <v>272.35779457225038</v>
      </c>
    </row>
    <row r="1458" spans="9:14" x14ac:dyDescent="0.15">
      <c r="I1458">
        <v>1454</v>
      </c>
      <c r="J1458" t="s">
        <v>2</v>
      </c>
      <c r="K1458" s="1">
        <v>38342</v>
      </c>
      <c r="L1458" t="s">
        <v>12</v>
      </c>
      <c r="M1458" s="3">
        <v>17</v>
      </c>
      <c r="N1458" s="2">
        <v>52.516260583580817</v>
      </c>
    </row>
    <row r="1459" spans="9:14" x14ac:dyDescent="0.15">
      <c r="I1459">
        <v>1455</v>
      </c>
      <c r="J1459" t="s">
        <v>4</v>
      </c>
      <c r="K1459" s="1">
        <v>38199</v>
      </c>
      <c r="L1459" t="s">
        <v>11</v>
      </c>
      <c r="M1459" s="3">
        <v>-7</v>
      </c>
      <c r="N1459" s="2">
        <v>-18.916737992903691</v>
      </c>
    </row>
    <row r="1460" spans="9:14" x14ac:dyDescent="0.15">
      <c r="I1460">
        <v>1456</v>
      </c>
      <c r="J1460" t="s">
        <v>6</v>
      </c>
      <c r="K1460" s="1">
        <v>38232</v>
      </c>
      <c r="L1460" t="s">
        <v>12</v>
      </c>
      <c r="M1460" s="3">
        <v>21</v>
      </c>
      <c r="N1460" s="2">
        <v>64.912642276982112</v>
      </c>
    </row>
    <row r="1461" spans="9:14" x14ac:dyDescent="0.15">
      <c r="I1461">
        <v>1457</v>
      </c>
      <c r="J1461" t="s">
        <v>0</v>
      </c>
      <c r="K1461" s="1">
        <v>38573</v>
      </c>
      <c r="L1461" t="s">
        <v>9</v>
      </c>
      <c r="M1461" s="3">
        <v>14</v>
      </c>
      <c r="N1461" s="2">
        <v>44.327818174178198</v>
      </c>
    </row>
    <row r="1462" spans="9:14" x14ac:dyDescent="0.15">
      <c r="I1462">
        <v>1458</v>
      </c>
      <c r="J1462" t="s">
        <v>4</v>
      </c>
      <c r="K1462" s="1">
        <v>38826</v>
      </c>
      <c r="L1462" t="s">
        <v>13</v>
      </c>
      <c r="M1462" s="3">
        <v>84</v>
      </c>
      <c r="N1462" s="2">
        <v>254.27232164491826</v>
      </c>
    </row>
    <row r="1463" spans="9:14" x14ac:dyDescent="0.15">
      <c r="I1463">
        <v>1459</v>
      </c>
      <c r="J1463" t="s">
        <v>1</v>
      </c>
      <c r="K1463" s="1">
        <v>38738</v>
      </c>
      <c r="L1463" t="s">
        <v>13</v>
      </c>
      <c r="M1463" s="3">
        <v>92</v>
      </c>
      <c r="N1463" s="2">
        <v>278.12892270091868</v>
      </c>
    </row>
    <row r="1464" spans="9:14" x14ac:dyDescent="0.15">
      <c r="I1464">
        <v>1460</v>
      </c>
      <c r="J1464" t="s">
        <v>4</v>
      </c>
      <c r="K1464" s="1">
        <v>39013</v>
      </c>
      <c r="L1464" t="s">
        <v>10</v>
      </c>
      <c r="M1464" s="3">
        <v>-1</v>
      </c>
      <c r="N1464" s="2">
        <v>-0.12859943512322669</v>
      </c>
    </row>
    <row r="1465" spans="9:14" x14ac:dyDescent="0.15">
      <c r="I1465">
        <v>1461</v>
      </c>
      <c r="J1465" t="s">
        <v>4</v>
      </c>
      <c r="K1465" s="1">
        <v>38485</v>
      </c>
      <c r="L1465" t="s">
        <v>10</v>
      </c>
      <c r="M1465" s="3">
        <v>73</v>
      </c>
      <c r="N1465" s="2">
        <v>222.08676582590357</v>
      </c>
    </row>
    <row r="1466" spans="9:14" x14ac:dyDescent="0.15">
      <c r="I1466">
        <v>1462</v>
      </c>
      <c r="J1466" t="s">
        <v>7</v>
      </c>
      <c r="K1466" s="1">
        <v>38727</v>
      </c>
      <c r="L1466" t="s">
        <v>9</v>
      </c>
      <c r="M1466" s="3">
        <v>48</v>
      </c>
      <c r="N1466" s="2">
        <v>146.42108275927566</v>
      </c>
    </row>
    <row r="1467" spans="9:14" x14ac:dyDescent="0.15">
      <c r="I1467">
        <v>1463</v>
      </c>
      <c r="J1467" t="s">
        <v>7</v>
      </c>
      <c r="K1467" s="1">
        <v>38331</v>
      </c>
      <c r="L1467" t="s">
        <v>11</v>
      </c>
      <c r="M1467" s="3">
        <v>72</v>
      </c>
      <c r="N1467" s="2">
        <v>217.08233008534265</v>
      </c>
    </row>
    <row r="1468" spans="9:14" x14ac:dyDescent="0.15">
      <c r="I1468">
        <v>1464</v>
      </c>
      <c r="J1468" t="s">
        <v>8</v>
      </c>
      <c r="K1468" s="1">
        <v>38903</v>
      </c>
      <c r="L1468" t="s">
        <v>9</v>
      </c>
      <c r="M1468" s="3">
        <v>42</v>
      </c>
      <c r="N1468" s="2">
        <v>127.6087139856683</v>
      </c>
    </row>
    <row r="1469" spans="9:14" x14ac:dyDescent="0.15">
      <c r="I1469">
        <v>1465</v>
      </c>
      <c r="J1469" t="s">
        <v>4</v>
      </c>
      <c r="K1469" s="1">
        <v>38342</v>
      </c>
      <c r="L1469" t="s">
        <v>9</v>
      </c>
      <c r="M1469" s="3">
        <v>80</v>
      </c>
      <c r="N1469" s="2">
        <v>242.20754620036109</v>
      </c>
    </row>
    <row r="1470" spans="9:14" x14ac:dyDescent="0.15">
      <c r="I1470">
        <v>1466</v>
      </c>
      <c r="J1470" t="s">
        <v>4</v>
      </c>
      <c r="K1470" s="1">
        <v>38595</v>
      </c>
      <c r="L1470" t="s">
        <v>9</v>
      </c>
      <c r="M1470" s="3">
        <v>56</v>
      </c>
      <c r="N1470" s="2">
        <v>170.85558875726406</v>
      </c>
    </row>
    <row r="1471" spans="9:14" x14ac:dyDescent="0.15">
      <c r="I1471">
        <v>1467</v>
      </c>
      <c r="J1471" t="s">
        <v>0</v>
      </c>
      <c r="K1471" s="1">
        <v>38012</v>
      </c>
      <c r="L1471" t="s">
        <v>12</v>
      </c>
      <c r="M1471" s="3">
        <v>46</v>
      </c>
      <c r="N1471" s="2">
        <v>140.57686436306247</v>
      </c>
    </row>
    <row r="1472" spans="9:14" x14ac:dyDescent="0.15">
      <c r="I1472">
        <v>1468</v>
      </c>
      <c r="J1472" t="s">
        <v>8</v>
      </c>
      <c r="K1472" s="1">
        <v>38870</v>
      </c>
      <c r="L1472" t="s">
        <v>11</v>
      </c>
      <c r="M1472" s="3">
        <v>45</v>
      </c>
      <c r="N1472" s="2">
        <v>136.77216386728932</v>
      </c>
    </row>
    <row r="1473" spans="9:14" x14ac:dyDescent="0.15">
      <c r="I1473">
        <v>1469</v>
      </c>
      <c r="J1473" t="s">
        <v>6</v>
      </c>
      <c r="K1473" s="1">
        <v>38507</v>
      </c>
      <c r="L1473" t="s">
        <v>9</v>
      </c>
      <c r="M1473" s="3">
        <v>53</v>
      </c>
      <c r="N1473" s="2">
        <v>160.40163840433979</v>
      </c>
    </row>
    <row r="1474" spans="9:14" x14ac:dyDescent="0.15">
      <c r="I1474">
        <v>1470</v>
      </c>
      <c r="J1474" t="s">
        <v>6</v>
      </c>
      <c r="K1474" s="1">
        <v>38628</v>
      </c>
      <c r="L1474" t="s">
        <v>11</v>
      </c>
      <c r="M1474" s="3">
        <v>51</v>
      </c>
      <c r="N1474" s="2">
        <v>155.05152823672236</v>
      </c>
    </row>
    <row r="1475" spans="9:14" x14ac:dyDescent="0.15">
      <c r="I1475">
        <v>1471</v>
      </c>
      <c r="J1475" t="s">
        <v>1</v>
      </c>
      <c r="K1475" s="1">
        <v>38705</v>
      </c>
      <c r="L1475" t="s">
        <v>12</v>
      </c>
      <c r="M1475" s="3">
        <v>64</v>
      </c>
      <c r="N1475" s="2">
        <v>193.29903203964747</v>
      </c>
    </row>
    <row r="1476" spans="9:14" x14ac:dyDescent="0.15">
      <c r="I1476">
        <v>1472</v>
      </c>
      <c r="J1476" t="s">
        <v>8</v>
      </c>
      <c r="K1476" s="1">
        <v>38298</v>
      </c>
      <c r="L1476" t="s">
        <v>11</v>
      </c>
      <c r="M1476" s="3">
        <v>15</v>
      </c>
      <c r="N1476" s="2">
        <v>47.086660569111189</v>
      </c>
    </row>
    <row r="1477" spans="9:14" x14ac:dyDescent="0.15">
      <c r="I1477">
        <v>1473</v>
      </c>
      <c r="J1477" t="s">
        <v>4</v>
      </c>
      <c r="K1477" s="1">
        <v>38078</v>
      </c>
      <c r="L1477" t="s">
        <v>13</v>
      </c>
      <c r="M1477" s="3">
        <v>33</v>
      </c>
      <c r="N1477" s="2">
        <v>101.69988655484008</v>
      </c>
    </row>
    <row r="1478" spans="9:14" x14ac:dyDescent="0.15">
      <c r="I1478">
        <v>1474</v>
      </c>
      <c r="J1478" t="s">
        <v>5</v>
      </c>
      <c r="K1478" s="1">
        <v>38848</v>
      </c>
      <c r="L1478" t="s">
        <v>11</v>
      </c>
      <c r="M1478" s="3">
        <v>31</v>
      </c>
      <c r="N1478" s="2">
        <v>95.050667546988379</v>
      </c>
    </row>
    <row r="1479" spans="9:14" x14ac:dyDescent="0.15">
      <c r="I1479">
        <v>1475</v>
      </c>
      <c r="J1479" t="s">
        <v>6</v>
      </c>
      <c r="K1479" s="1">
        <v>38705</v>
      </c>
      <c r="L1479" t="s">
        <v>13</v>
      </c>
      <c r="M1479" s="3">
        <v>51</v>
      </c>
      <c r="N1479" s="2">
        <v>155.18472828999515</v>
      </c>
    </row>
    <row r="1480" spans="9:14" x14ac:dyDescent="0.15">
      <c r="I1480">
        <v>1476</v>
      </c>
      <c r="J1480" t="s">
        <v>1</v>
      </c>
      <c r="K1480" s="1">
        <v>38947</v>
      </c>
      <c r="L1480" t="s">
        <v>9</v>
      </c>
      <c r="M1480" s="3">
        <v>-7</v>
      </c>
      <c r="N1480" s="2">
        <v>-18.636086701073594</v>
      </c>
    </row>
    <row r="1481" spans="9:14" x14ac:dyDescent="0.15">
      <c r="I1481">
        <v>1477</v>
      </c>
      <c r="J1481" t="s">
        <v>6</v>
      </c>
      <c r="K1481" s="1">
        <v>38485</v>
      </c>
      <c r="L1481" t="s">
        <v>11</v>
      </c>
      <c r="M1481" s="3">
        <v>37</v>
      </c>
      <c r="N1481" s="2">
        <v>112.07406400171799</v>
      </c>
    </row>
    <row r="1482" spans="9:14" x14ac:dyDescent="0.15">
      <c r="I1482">
        <v>1478</v>
      </c>
      <c r="J1482" t="s">
        <v>8</v>
      </c>
      <c r="K1482" s="1">
        <v>38518</v>
      </c>
      <c r="L1482" t="s">
        <v>9</v>
      </c>
      <c r="M1482" s="3">
        <v>43</v>
      </c>
      <c r="N1482" s="2">
        <v>130.97379554914517</v>
      </c>
    </row>
    <row r="1483" spans="9:14" x14ac:dyDescent="0.15">
      <c r="I1483">
        <v>1479</v>
      </c>
      <c r="J1483" t="s">
        <v>7</v>
      </c>
      <c r="K1483" s="1">
        <v>38859</v>
      </c>
      <c r="L1483" t="s">
        <v>12</v>
      </c>
      <c r="M1483" s="3">
        <v>63</v>
      </c>
      <c r="N1483" s="2">
        <v>190.69209828626822</v>
      </c>
    </row>
    <row r="1484" spans="9:14" x14ac:dyDescent="0.15">
      <c r="I1484">
        <v>1480</v>
      </c>
      <c r="J1484" t="s">
        <v>2</v>
      </c>
      <c r="K1484" s="1">
        <v>38177</v>
      </c>
      <c r="L1484" t="s">
        <v>11</v>
      </c>
      <c r="M1484" s="3">
        <v>29</v>
      </c>
      <c r="N1484" s="2">
        <v>89.589016206328608</v>
      </c>
    </row>
    <row r="1485" spans="9:14" x14ac:dyDescent="0.15">
      <c r="I1485">
        <v>1481</v>
      </c>
      <c r="J1485" t="s">
        <v>7</v>
      </c>
      <c r="K1485" s="1">
        <v>38694</v>
      </c>
      <c r="L1485" t="s">
        <v>12</v>
      </c>
      <c r="M1485" s="3">
        <v>20</v>
      </c>
      <c r="N1485" s="2">
        <v>61.944091716082518</v>
      </c>
    </row>
    <row r="1486" spans="9:14" x14ac:dyDescent="0.15">
      <c r="I1486">
        <v>1482</v>
      </c>
      <c r="J1486" t="s">
        <v>5</v>
      </c>
      <c r="K1486" s="1">
        <v>38804</v>
      </c>
      <c r="L1486" t="s">
        <v>11</v>
      </c>
      <c r="M1486" s="3">
        <v>48</v>
      </c>
      <c r="N1486" s="2">
        <v>146.44223986116381</v>
      </c>
    </row>
    <row r="1487" spans="9:14" x14ac:dyDescent="0.15">
      <c r="I1487">
        <v>1483</v>
      </c>
      <c r="J1487" t="s">
        <v>8</v>
      </c>
      <c r="K1487" s="1">
        <v>38562</v>
      </c>
      <c r="L1487" t="s">
        <v>11</v>
      </c>
      <c r="M1487" s="3">
        <v>94</v>
      </c>
      <c r="N1487" s="2">
        <v>284.30651580761617</v>
      </c>
    </row>
    <row r="1488" spans="9:14" x14ac:dyDescent="0.15">
      <c r="I1488">
        <v>1484</v>
      </c>
      <c r="J1488" t="s">
        <v>8</v>
      </c>
      <c r="K1488" s="1">
        <v>38969</v>
      </c>
      <c r="L1488" t="s">
        <v>9</v>
      </c>
      <c r="M1488" s="3">
        <v>41</v>
      </c>
      <c r="N1488" s="2">
        <v>124.88343538167078</v>
      </c>
    </row>
    <row r="1489" spans="9:14" x14ac:dyDescent="0.15">
      <c r="I1489">
        <v>1485</v>
      </c>
      <c r="J1489" t="s">
        <v>8</v>
      </c>
      <c r="K1489" s="1">
        <v>38375</v>
      </c>
      <c r="L1489" t="s">
        <v>11</v>
      </c>
      <c r="M1489" s="3">
        <v>45</v>
      </c>
      <c r="N1489" s="2">
        <v>137.54620754134569</v>
      </c>
    </row>
    <row r="1490" spans="9:14" x14ac:dyDescent="0.15">
      <c r="I1490">
        <v>1486</v>
      </c>
      <c r="J1490" t="s">
        <v>0</v>
      </c>
      <c r="K1490" s="1">
        <v>38485</v>
      </c>
      <c r="L1490" t="s">
        <v>10</v>
      </c>
      <c r="M1490" s="3">
        <v>69</v>
      </c>
      <c r="N1490" s="2">
        <v>208.60656085319707</v>
      </c>
    </row>
    <row r="1491" spans="9:14" x14ac:dyDescent="0.15">
      <c r="I1491">
        <v>1487</v>
      </c>
      <c r="J1491" t="s">
        <v>6</v>
      </c>
      <c r="K1491" s="1">
        <v>38078</v>
      </c>
      <c r="L1491" t="s">
        <v>12</v>
      </c>
      <c r="M1491" s="3">
        <v>48</v>
      </c>
      <c r="N1491" s="2">
        <v>146.16733998853596</v>
      </c>
    </row>
    <row r="1492" spans="9:14" x14ac:dyDescent="0.15">
      <c r="I1492">
        <v>1488</v>
      </c>
      <c r="J1492" t="s">
        <v>1</v>
      </c>
      <c r="K1492" s="1">
        <v>38375</v>
      </c>
      <c r="L1492" t="s">
        <v>12</v>
      </c>
      <c r="M1492" s="3">
        <v>38</v>
      </c>
      <c r="N1492" s="2">
        <v>115.70319467233371</v>
      </c>
    </row>
    <row r="1493" spans="9:14" x14ac:dyDescent="0.15">
      <c r="I1493">
        <v>1489</v>
      </c>
      <c r="J1493" t="s">
        <v>8</v>
      </c>
      <c r="K1493" s="1">
        <v>38738</v>
      </c>
      <c r="L1493" t="s">
        <v>10</v>
      </c>
      <c r="M1493" s="3">
        <v>49</v>
      </c>
      <c r="N1493" s="2">
        <v>149.11052069470631</v>
      </c>
    </row>
    <row r="1494" spans="9:14" x14ac:dyDescent="0.15">
      <c r="I1494">
        <v>1490</v>
      </c>
      <c r="J1494" t="s">
        <v>2</v>
      </c>
      <c r="K1494" s="1">
        <v>38232</v>
      </c>
      <c r="L1494" t="s">
        <v>9</v>
      </c>
      <c r="M1494" s="3">
        <v>79</v>
      </c>
      <c r="N1494" s="2">
        <v>239.15028034352162</v>
      </c>
    </row>
    <row r="1495" spans="9:14" x14ac:dyDescent="0.15">
      <c r="I1495">
        <v>1491</v>
      </c>
      <c r="J1495" t="s">
        <v>6</v>
      </c>
      <c r="K1495" s="1">
        <v>38551</v>
      </c>
      <c r="L1495" t="s">
        <v>9</v>
      </c>
      <c r="M1495" s="3">
        <v>93</v>
      </c>
      <c r="N1495" s="2">
        <v>281.34133684394243</v>
      </c>
    </row>
    <row r="1496" spans="9:14" x14ac:dyDescent="0.15">
      <c r="I1496">
        <v>1492</v>
      </c>
      <c r="J1496" t="s">
        <v>2</v>
      </c>
      <c r="K1496" s="1">
        <v>38342</v>
      </c>
      <c r="L1496" t="s">
        <v>9</v>
      </c>
      <c r="M1496" s="3">
        <v>67</v>
      </c>
      <c r="N1496" s="2">
        <v>202.43601829550036</v>
      </c>
    </row>
    <row r="1497" spans="9:14" x14ac:dyDescent="0.15">
      <c r="I1497">
        <v>1493</v>
      </c>
      <c r="J1497" t="s">
        <v>8</v>
      </c>
      <c r="K1497" s="1">
        <v>38859</v>
      </c>
      <c r="L1497" t="s">
        <v>9</v>
      </c>
      <c r="M1497" s="3">
        <v>13</v>
      </c>
      <c r="N1497" s="2">
        <v>41.318769528122459</v>
      </c>
    </row>
    <row r="1498" spans="9:14" x14ac:dyDescent="0.15">
      <c r="I1498">
        <v>1494</v>
      </c>
      <c r="J1498" t="s">
        <v>6</v>
      </c>
      <c r="K1498" s="1">
        <v>38639</v>
      </c>
      <c r="L1498" t="s">
        <v>10</v>
      </c>
      <c r="M1498" s="3">
        <v>71</v>
      </c>
      <c r="N1498" s="2">
        <v>215.36222588622564</v>
      </c>
    </row>
    <row r="1499" spans="9:14" x14ac:dyDescent="0.15">
      <c r="I1499">
        <v>1495</v>
      </c>
      <c r="J1499" t="s">
        <v>8</v>
      </c>
      <c r="K1499" s="1">
        <v>39013</v>
      </c>
      <c r="L1499" t="s">
        <v>9</v>
      </c>
      <c r="M1499" s="3">
        <v>15</v>
      </c>
      <c r="N1499" s="2">
        <v>46.386549546936031</v>
      </c>
    </row>
    <row r="1500" spans="9:14" x14ac:dyDescent="0.15">
      <c r="I1500">
        <v>1496</v>
      </c>
      <c r="J1500" t="s">
        <v>4</v>
      </c>
      <c r="K1500" s="1">
        <v>38606</v>
      </c>
      <c r="L1500" t="s">
        <v>11</v>
      </c>
      <c r="M1500" s="3">
        <v>89</v>
      </c>
      <c r="N1500" s="2">
        <v>269.12365453676284</v>
      </c>
    </row>
    <row r="1501" spans="9:14" x14ac:dyDescent="0.15">
      <c r="I1501">
        <v>1497</v>
      </c>
      <c r="J1501" t="s">
        <v>4</v>
      </c>
      <c r="K1501" s="1">
        <v>38650</v>
      </c>
      <c r="L1501" t="s">
        <v>12</v>
      </c>
      <c r="M1501" s="3">
        <v>65</v>
      </c>
      <c r="N1501" s="2">
        <v>197.49619907968821</v>
      </c>
    </row>
    <row r="1502" spans="9:14" x14ac:dyDescent="0.15">
      <c r="I1502">
        <v>1498</v>
      </c>
      <c r="J1502" t="s">
        <v>4</v>
      </c>
      <c r="K1502" s="1">
        <v>38342</v>
      </c>
      <c r="L1502" t="s">
        <v>11</v>
      </c>
      <c r="M1502" s="3">
        <v>16</v>
      </c>
      <c r="N1502" s="2">
        <v>49.977621498939477</v>
      </c>
    </row>
    <row r="1503" spans="9:14" x14ac:dyDescent="0.15">
      <c r="I1503">
        <v>1499</v>
      </c>
      <c r="J1503" t="s">
        <v>8</v>
      </c>
      <c r="K1503" s="1">
        <v>38870</v>
      </c>
      <c r="L1503" t="s">
        <v>10</v>
      </c>
      <c r="M1503" s="3">
        <v>48</v>
      </c>
      <c r="N1503" s="2">
        <v>146.12940219412363</v>
      </c>
    </row>
    <row r="1504" spans="9:14" x14ac:dyDescent="0.15">
      <c r="I1504">
        <v>1500</v>
      </c>
      <c r="J1504" t="s">
        <v>3</v>
      </c>
      <c r="K1504" s="1">
        <v>38595</v>
      </c>
      <c r="L1504" t="s">
        <v>11</v>
      </c>
      <c r="M1504" s="3">
        <v>78</v>
      </c>
      <c r="N1504" s="2">
        <v>235.9430418370726</v>
      </c>
    </row>
    <row r="1505" spans="9:14" x14ac:dyDescent="0.15">
      <c r="I1505">
        <v>1501</v>
      </c>
      <c r="J1505" t="s">
        <v>7</v>
      </c>
      <c r="K1505" s="1">
        <v>38012</v>
      </c>
      <c r="L1505" t="s">
        <v>10</v>
      </c>
      <c r="M1505" s="3">
        <v>5</v>
      </c>
      <c r="N1505" s="2">
        <v>17.19135783501677</v>
      </c>
    </row>
    <row r="1506" spans="9:14" x14ac:dyDescent="0.15">
      <c r="I1506">
        <v>1502</v>
      </c>
      <c r="J1506" t="s">
        <v>5</v>
      </c>
      <c r="K1506" s="1">
        <v>38727</v>
      </c>
      <c r="L1506" t="s">
        <v>10</v>
      </c>
      <c r="M1506" s="3">
        <v>33</v>
      </c>
      <c r="N1506" s="2">
        <v>101.70689339051272</v>
      </c>
    </row>
    <row r="1507" spans="9:14" x14ac:dyDescent="0.15">
      <c r="I1507">
        <v>1503</v>
      </c>
      <c r="J1507" t="s">
        <v>6</v>
      </c>
      <c r="K1507" s="1">
        <v>38804</v>
      </c>
      <c r="L1507" t="s">
        <v>9</v>
      </c>
      <c r="M1507" s="3">
        <v>73</v>
      </c>
      <c r="N1507" s="2">
        <v>220.6254493831498</v>
      </c>
    </row>
    <row r="1508" spans="9:14" x14ac:dyDescent="0.15">
      <c r="I1508">
        <v>1504</v>
      </c>
      <c r="J1508" t="s">
        <v>8</v>
      </c>
      <c r="K1508" s="1">
        <v>38188</v>
      </c>
      <c r="L1508" t="s">
        <v>12</v>
      </c>
      <c r="M1508" s="3">
        <v>93</v>
      </c>
      <c r="N1508" s="2">
        <v>280.86225864864616</v>
      </c>
    </row>
    <row r="1509" spans="9:14" x14ac:dyDescent="0.15">
      <c r="I1509">
        <v>1505</v>
      </c>
      <c r="J1509" t="s">
        <v>8</v>
      </c>
      <c r="K1509" s="1">
        <v>38716</v>
      </c>
      <c r="L1509" t="s">
        <v>9</v>
      </c>
      <c r="M1509" s="3">
        <v>37</v>
      </c>
      <c r="N1509" s="2">
        <v>113.24236035613511</v>
      </c>
    </row>
    <row r="1510" spans="9:14" x14ac:dyDescent="0.15">
      <c r="I1510">
        <v>1506</v>
      </c>
      <c r="J1510" t="s">
        <v>2</v>
      </c>
      <c r="K1510" s="1">
        <v>38562</v>
      </c>
      <c r="L1510" t="s">
        <v>10</v>
      </c>
      <c r="M1510" s="3">
        <v>23</v>
      </c>
      <c r="N1510" s="2">
        <v>70.338092994751676</v>
      </c>
    </row>
    <row r="1511" spans="9:14" x14ac:dyDescent="0.15">
      <c r="I1511">
        <v>1507</v>
      </c>
      <c r="J1511" t="s">
        <v>2</v>
      </c>
      <c r="K1511" s="1">
        <v>38683</v>
      </c>
      <c r="L1511" t="s">
        <v>10</v>
      </c>
      <c r="M1511" s="3">
        <v>-3</v>
      </c>
      <c r="N1511" s="2">
        <v>-7.2085961879253206</v>
      </c>
    </row>
    <row r="1512" spans="9:14" x14ac:dyDescent="0.15">
      <c r="I1512">
        <v>1508</v>
      </c>
      <c r="J1512" t="s">
        <v>0</v>
      </c>
      <c r="K1512" s="1">
        <v>38771</v>
      </c>
      <c r="L1512" t="s">
        <v>11</v>
      </c>
      <c r="M1512" s="3">
        <v>39</v>
      </c>
      <c r="N1512" s="2">
        <v>118.95540899877352</v>
      </c>
    </row>
    <row r="1513" spans="9:14" x14ac:dyDescent="0.15">
      <c r="I1513">
        <v>1509</v>
      </c>
      <c r="J1513" t="s">
        <v>8</v>
      </c>
      <c r="K1513" s="1">
        <v>38837</v>
      </c>
      <c r="L1513" t="s">
        <v>11</v>
      </c>
      <c r="M1513" s="3">
        <v>83</v>
      </c>
      <c r="N1513" s="2">
        <v>251.40370686680004</v>
      </c>
    </row>
    <row r="1514" spans="9:14" x14ac:dyDescent="0.15">
      <c r="I1514">
        <v>1510</v>
      </c>
      <c r="J1514" t="s">
        <v>5</v>
      </c>
      <c r="K1514" s="1">
        <v>38958</v>
      </c>
      <c r="L1514" t="s">
        <v>9</v>
      </c>
      <c r="M1514" s="3">
        <v>65</v>
      </c>
      <c r="N1514" s="2">
        <v>197.80862125573833</v>
      </c>
    </row>
    <row r="1515" spans="9:14" x14ac:dyDescent="0.15">
      <c r="I1515">
        <v>1511</v>
      </c>
      <c r="J1515" t="s">
        <v>8</v>
      </c>
      <c r="K1515" s="1">
        <v>38320</v>
      </c>
      <c r="L1515" t="s">
        <v>10</v>
      </c>
      <c r="M1515" s="3">
        <v>13</v>
      </c>
      <c r="N1515" s="2">
        <v>41.739412502907776</v>
      </c>
    </row>
    <row r="1516" spans="9:14" x14ac:dyDescent="0.15">
      <c r="I1516">
        <v>1512</v>
      </c>
      <c r="J1516" t="s">
        <v>5</v>
      </c>
      <c r="K1516" s="1">
        <v>38672</v>
      </c>
      <c r="L1516" t="s">
        <v>9</v>
      </c>
      <c r="M1516" s="3">
        <v>9</v>
      </c>
      <c r="N1516" s="2">
        <v>28.855899545684331</v>
      </c>
    </row>
    <row r="1517" spans="9:14" x14ac:dyDescent="0.15">
      <c r="I1517">
        <v>1513</v>
      </c>
      <c r="J1517" t="s">
        <v>1</v>
      </c>
      <c r="K1517" s="1">
        <v>39068</v>
      </c>
      <c r="L1517" t="s">
        <v>11</v>
      </c>
      <c r="M1517" s="3">
        <v>-4</v>
      </c>
      <c r="N1517" s="2">
        <v>-10.353255411982897</v>
      </c>
    </row>
    <row r="1518" spans="9:14" x14ac:dyDescent="0.15">
      <c r="I1518">
        <v>1514</v>
      </c>
      <c r="J1518" t="s">
        <v>6</v>
      </c>
      <c r="K1518" s="1">
        <v>38287</v>
      </c>
      <c r="L1518" t="s">
        <v>12</v>
      </c>
      <c r="M1518" s="3">
        <v>22</v>
      </c>
      <c r="N1518" s="2">
        <v>67.745285115132006</v>
      </c>
    </row>
    <row r="1519" spans="9:14" x14ac:dyDescent="0.15">
      <c r="I1519">
        <v>1515</v>
      </c>
      <c r="J1519" t="s">
        <v>3</v>
      </c>
      <c r="K1519" s="1">
        <v>38441</v>
      </c>
      <c r="L1519" t="s">
        <v>12</v>
      </c>
      <c r="M1519" s="3">
        <v>-3</v>
      </c>
      <c r="N1519" s="2">
        <v>-6.8920180610801349</v>
      </c>
    </row>
    <row r="1520" spans="9:14" x14ac:dyDescent="0.15">
      <c r="I1520">
        <v>1516</v>
      </c>
      <c r="J1520" t="s">
        <v>2</v>
      </c>
      <c r="K1520" s="1">
        <v>38199</v>
      </c>
      <c r="L1520" t="s">
        <v>12</v>
      </c>
      <c r="M1520" s="3">
        <v>58</v>
      </c>
      <c r="N1520" s="2">
        <v>176.19804950784601</v>
      </c>
    </row>
    <row r="1521" spans="9:14" x14ac:dyDescent="0.15">
      <c r="I1521">
        <v>1517</v>
      </c>
      <c r="J1521" t="s">
        <v>1</v>
      </c>
      <c r="K1521" s="1">
        <v>38221</v>
      </c>
      <c r="L1521" t="s">
        <v>11</v>
      </c>
      <c r="M1521" s="3">
        <v>65</v>
      </c>
      <c r="N1521" s="2">
        <v>196.63911479091979</v>
      </c>
    </row>
    <row r="1522" spans="9:14" x14ac:dyDescent="0.15">
      <c r="I1522">
        <v>1518</v>
      </c>
      <c r="J1522" t="s">
        <v>2</v>
      </c>
      <c r="K1522" s="1">
        <v>38166</v>
      </c>
      <c r="L1522" t="s">
        <v>11</v>
      </c>
      <c r="M1522" s="3">
        <v>9</v>
      </c>
      <c r="N1522" s="2">
        <v>28.459065178844462</v>
      </c>
    </row>
    <row r="1523" spans="9:14" x14ac:dyDescent="0.15">
      <c r="I1523">
        <v>1519</v>
      </c>
      <c r="J1523" t="s">
        <v>5</v>
      </c>
      <c r="K1523" s="1">
        <v>39013</v>
      </c>
      <c r="L1523" t="s">
        <v>13</v>
      </c>
      <c r="M1523" s="3">
        <v>18</v>
      </c>
      <c r="N1523" s="2">
        <v>56.300241442258397</v>
      </c>
    </row>
    <row r="1524" spans="9:14" x14ac:dyDescent="0.15">
      <c r="I1524">
        <v>1520</v>
      </c>
      <c r="J1524" t="s">
        <v>3</v>
      </c>
      <c r="K1524" s="1">
        <v>38111</v>
      </c>
      <c r="L1524" t="s">
        <v>9</v>
      </c>
      <c r="M1524" s="3">
        <v>55</v>
      </c>
      <c r="N1524" s="2">
        <v>166.7781249229084</v>
      </c>
    </row>
    <row r="1525" spans="9:14" x14ac:dyDescent="0.15">
      <c r="I1525">
        <v>1521</v>
      </c>
      <c r="J1525" t="s">
        <v>1</v>
      </c>
      <c r="K1525" s="1">
        <v>38364</v>
      </c>
      <c r="L1525" t="s">
        <v>11</v>
      </c>
      <c r="M1525" s="3">
        <v>69</v>
      </c>
      <c r="N1525" s="2">
        <v>209.56822946203218</v>
      </c>
    </row>
    <row r="1526" spans="9:14" x14ac:dyDescent="0.15">
      <c r="I1526">
        <v>1522</v>
      </c>
      <c r="J1526" t="s">
        <v>4</v>
      </c>
      <c r="K1526" s="1">
        <v>38089</v>
      </c>
      <c r="L1526" t="s">
        <v>11</v>
      </c>
      <c r="M1526" s="3">
        <v>51</v>
      </c>
      <c r="N1526" s="2">
        <v>155.55960489398822</v>
      </c>
    </row>
    <row r="1527" spans="9:14" x14ac:dyDescent="0.15">
      <c r="I1527">
        <v>1523</v>
      </c>
      <c r="J1527" t="s">
        <v>6</v>
      </c>
      <c r="K1527" s="1">
        <v>38738</v>
      </c>
      <c r="L1527" t="s">
        <v>13</v>
      </c>
      <c r="M1527" s="3">
        <v>23</v>
      </c>
      <c r="N1527" s="2">
        <v>71.150007929550512</v>
      </c>
    </row>
    <row r="1528" spans="9:14" x14ac:dyDescent="0.15">
      <c r="I1528">
        <v>1524</v>
      </c>
      <c r="J1528" t="s">
        <v>8</v>
      </c>
      <c r="K1528" s="1">
        <v>38826</v>
      </c>
      <c r="L1528" t="s">
        <v>10</v>
      </c>
      <c r="M1528" s="3">
        <v>38</v>
      </c>
      <c r="N1528" s="2">
        <v>115.80895982640449</v>
      </c>
    </row>
    <row r="1529" spans="9:14" x14ac:dyDescent="0.15">
      <c r="I1529">
        <v>1525</v>
      </c>
      <c r="J1529" t="s">
        <v>4</v>
      </c>
      <c r="K1529" s="1">
        <v>38320</v>
      </c>
      <c r="L1529" t="s">
        <v>13</v>
      </c>
      <c r="M1529" s="3">
        <v>-8</v>
      </c>
      <c r="N1529" s="2">
        <v>-22.286591550898308</v>
      </c>
    </row>
    <row r="1530" spans="9:14" x14ac:dyDescent="0.15">
      <c r="I1530">
        <v>1526</v>
      </c>
      <c r="J1530" t="s">
        <v>3</v>
      </c>
      <c r="K1530" s="1">
        <v>39013</v>
      </c>
      <c r="L1530" t="s">
        <v>11</v>
      </c>
      <c r="M1530" s="3">
        <v>20</v>
      </c>
      <c r="N1530" s="2">
        <v>61.782563000840952</v>
      </c>
    </row>
    <row r="1531" spans="9:14" x14ac:dyDescent="0.15">
      <c r="I1531">
        <v>1527</v>
      </c>
      <c r="J1531" t="s">
        <v>1</v>
      </c>
      <c r="K1531" s="1">
        <v>38540</v>
      </c>
      <c r="L1531" t="s">
        <v>10</v>
      </c>
      <c r="M1531" s="3">
        <v>25</v>
      </c>
      <c r="N1531" s="2">
        <v>76.800582511934167</v>
      </c>
    </row>
    <row r="1532" spans="9:14" x14ac:dyDescent="0.15">
      <c r="I1532">
        <v>1528</v>
      </c>
      <c r="J1532" t="s">
        <v>8</v>
      </c>
      <c r="K1532" s="1">
        <v>39013</v>
      </c>
      <c r="L1532" t="s">
        <v>11</v>
      </c>
      <c r="M1532" s="3">
        <v>-6</v>
      </c>
      <c r="N1532" s="2">
        <v>-16.105946140968253</v>
      </c>
    </row>
    <row r="1533" spans="9:14" x14ac:dyDescent="0.15">
      <c r="I1533">
        <v>1529</v>
      </c>
      <c r="J1533" t="s">
        <v>4</v>
      </c>
      <c r="K1533" s="1">
        <v>38925</v>
      </c>
      <c r="L1533" t="s">
        <v>10</v>
      </c>
      <c r="M1533" s="3">
        <v>88</v>
      </c>
      <c r="N1533" s="2">
        <v>266.77209888218033</v>
      </c>
    </row>
    <row r="1534" spans="9:14" x14ac:dyDescent="0.15">
      <c r="I1534">
        <v>1530</v>
      </c>
      <c r="J1534" t="s">
        <v>0</v>
      </c>
      <c r="K1534" s="1">
        <v>38859</v>
      </c>
      <c r="L1534" t="s">
        <v>11</v>
      </c>
      <c r="M1534" s="3">
        <v>62</v>
      </c>
      <c r="N1534" s="2">
        <v>187.54179752226122</v>
      </c>
    </row>
    <row r="1535" spans="9:14" x14ac:dyDescent="0.15">
      <c r="I1535">
        <v>1531</v>
      </c>
      <c r="J1535" t="s">
        <v>3</v>
      </c>
      <c r="K1535" s="1">
        <v>37990</v>
      </c>
      <c r="L1535" t="s">
        <v>13</v>
      </c>
      <c r="M1535" s="3">
        <v>80</v>
      </c>
      <c r="N1535" s="2">
        <v>242.16012405865823</v>
      </c>
    </row>
    <row r="1536" spans="9:14" x14ac:dyDescent="0.15">
      <c r="I1536">
        <v>1532</v>
      </c>
      <c r="J1536" t="s">
        <v>7</v>
      </c>
      <c r="K1536" s="1">
        <v>38056</v>
      </c>
      <c r="L1536" t="s">
        <v>13</v>
      </c>
      <c r="M1536" s="3">
        <v>66</v>
      </c>
      <c r="N1536" s="2">
        <v>199.70376718058844</v>
      </c>
    </row>
    <row r="1537" spans="9:14" x14ac:dyDescent="0.15">
      <c r="I1537">
        <v>1533</v>
      </c>
      <c r="J1537" t="s">
        <v>5</v>
      </c>
      <c r="K1537" s="1">
        <v>38298</v>
      </c>
      <c r="L1537" t="s">
        <v>9</v>
      </c>
      <c r="M1537" s="3">
        <v>34</v>
      </c>
      <c r="N1537" s="2">
        <v>104.44930690558964</v>
      </c>
    </row>
    <row r="1538" spans="9:14" x14ac:dyDescent="0.15">
      <c r="I1538">
        <v>1534</v>
      </c>
      <c r="J1538" t="s">
        <v>3</v>
      </c>
      <c r="K1538" s="1">
        <v>38331</v>
      </c>
      <c r="L1538" t="s">
        <v>11</v>
      </c>
      <c r="M1538" s="3">
        <v>49</v>
      </c>
      <c r="N1538" s="2">
        <v>149.81621502008079</v>
      </c>
    </row>
    <row r="1539" spans="9:14" x14ac:dyDescent="0.15">
      <c r="I1539">
        <v>1535</v>
      </c>
      <c r="J1539" t="s">
        <v>7</v>
      </c>
      <c r="K1539" s="1">
        <v>38188</v>
      </c>
      <c r="L1539" t="s">
        <v>10</v>
      </c>
      <c r="M1539" s="3">
        <v>45</v>
      </c>
      <c r="N1539" s="2">
        <v>136.92331868568616</v>
      </c>
    </row>
    <row r="1540" spans="9:14" x14ac:dyDescent="0.15">
      <c r="I1540">
        <v>1536</v>
      </c>
      <c r="J1540" t="s">
        <v>1</v>
      </c>
      <c r="K1540" s="1">
        <v>38705</v>
      </c>
      <c r="L1540" t="s">
        <v>9</v>
      </c>
      <c r="M1540" s="3">
        <v>16</v>
      </c>
      <c r="N1540" s="2">
        <v>49.650187557976459</v>
      </c>
    </row>
    <row r="1541" spans="9:14" x14ac:dyDescent="0.15">
      <c r="I1541">
        <v>1537</v>
      </c>
      <c r="J1541" t="s">
        <v>0</v>
      </c>
      <c r="K1541" s="1">
        <v>38584</v>
      </c>
      <c r="L1541" t="s">
        <v>13</v>
      </c>
      <c r="M1541" s="3">
        <v>45</v>
      </c>
      <c r="N1541" s="2">
        <v>136.63786720901078</v>
      </c>
    </row>
    <row r="1542" spans="9:14" x14ac:dyDescent="0.15">
      <c r="I1542">
        <v>1538</v>
      </c>
      <c r="J1542" t="s">
        <v>6</v>
      </c>
      <c r="K1542" s="1">
        <v>38155</v>
      </c>
      <c r="L1542" t="s">
        <v>11</v>
      </c>
      <c r="M1542" s="3">
        <v>1</v>
      </c>
      <c r="N1542" s="2">
        <v>5.7263479599581428</v>
      </c>
    </row>
    <row r="1543" spans="9:14" x14ac:dyDescent="0.15">
      <c r="I1543">
        <v>1539</v>
      </c>
      <c r="J1543" t="s">
        <v>7</v>
      </c>
      <c r="K1543" s="1">
        <v>38562</v>
      </c>
      <c r="L1543" t="s">
        <v>12</v>
      </c>
      <c r="M1543" s="3">
        <v>33</v>
      </c>
      <c r="N1543" s="2">
        <v>100.97055324855179</v>
      </c>
    </row>
    <row r="1544" spans="9:14" x14ac:dyDescent="0.15">
      <c r="I1544">
        <v>1540</v>
      </c>
      <c r="J1544" t="s">
        <v>3</v>
      </c>
      <c r="K1544" s="1">
        <v>38595</v>
      </c>
      <c r="L1544" t="s">
        <v>13</v>
      </c>
      <c r="M1544" s="3">
        <v>37</v>
      </c>
      <c r="N1544" s="2">
        <v>113.03930108234786</v>
      </c>
    </row>
    <row r="1545" spans="9:14" x14ac:dyDescent="0.15">
      <c r="I1545">
        <v>1541</v>
      </c>
      <c r="J1545" t="s">
        <v>6</v>
      </c>
      <c r="K1545" s="1">
        <v>38540</v>
      </c>
      <c r="L1545" t="s">
        <v>11</v>
      </c>
      <c r="M1545" s="3">
        <v>46</v>
      </c>
      <c r="N1545" s="2">
        <v>139.33709070957588</v>
      </c>
    </row>
    <row r="1546" spans="9:14" x14ac:dyDescent="0.15">
      <c r="I1546">
        <v>1542</v>
      </c>
      <c r="J1546" t="s">
        <v>8</v>
      </c>
      <c r="K1546" s="1">
        <v>38023</v>
      </c>
      <c r="L1546" t="s">
        <v>9</v>
      </c>
      <c r="M1546" s="3">
        <v>71</v>
      </c>
      <c r="N1546" s="2">
        <v>215.35016800732583</v>
      </c>
    </row>
    <row r="1547" spans="9:14" x14ac:dyDescent="0.15">
      <c r="I1547">
        <v>1543</v>
      </c>
      <c r="J1547" t="s">
        <v>4</v>
      </c>
      <c r="K1547" s="1">
        <v>38320</v>
      </c>
      <c r="L1547" t="s">
        <v>12</v>
      </c>
      <c r="M1547" s="3">
        <v>59</v>
      </c>
      <c r="N1547" s="2">
        <v>179.11705650607632</v>
      </c>
    </row>
    <row r="1548" spans="9:14" x14ac:dyDescent="0.15">
      <c r="I1548">
        <v>1544</v>
      </c>
      <c r="J1548" t="s">
        <v>4</v>
      </c>
      <c r="K1548" s="1">
        <v>38463</v>
      </c>
      <c r="L1548" t="s">
        <v>13</v>
      </c>
      <c r="M1548" s="3">
        <v>84</v>
      </c>
      <c r="N1548" s="2">
        <v>253.54108298185832</v>
      </c>
    </row>
    <row r="1549" spans="9:14" x14ac:dyDescent="0.15">
      <c r="I1549">
        <v>1545</v>
      </c>
      <c r="J1549" t="s">
        <v>4</v>
      </c>
      <c r="K1549" s="1">
        <v>38892</v>
      </c>
      <c r="L1549" t="s">
        <v>11</v>
      </c>
      <c r="M1549" s="3">
        <v>91</v>
      </c>
      <c r="N1549" s="2">
        <v>274.23356541008826</v>
      </c>
    </row>
    <row r="1550" spans="9:14" x14ac:dyDescent="0.15">
      <c r="I1550">
        <v>1546</v>
      </c>
      <c r="J1550" t="s">
        <v>1</v>
      </c>
      <c r="K1550" s="1">
        <v>38056</v>
      </c>
      <c r="L1550" t="s">
        <v>10</v>
      </c>
      <c r="M1550" s="3">
        <v>33</v>
      </c>
      <c r="N1550" s="2">
        <v>100.22871812086524</v>
      </c>
    </row>
    <row r="1551" spans="9:14" x14ac:dyDescent="0.15">
      <c r="I1551">
        <v>1547</v>
      </c>
      <c r="J1551" t="s">
        <v>7</v>
      </c>
      <c r="K1551" s="1">
        <v>38342</v>
      </c>
      <c r="L1551" t="s">
        <v>11</v>
      </c>
      <c r="M1551" s="3">
        <v>34</v>
      </c>
      <c r="N1551" s="2">
        <v>104.04142923037654</v>
      </c>
    </row>
    <row r="1552" spans="9:14" x14ac:dyDescent="0.15">
      <c r="I1552">
        <v>1548</v>
      </c>
      <c r="J1552" t="s">
        <v>4</v>
      </c>
      <c r="K1552" s="1">
        <v>39013</v>
      </c>
      <c r="L1552" t="s">
        <v>10</v>
      </c>
      <c r="M1552" s="3">
        <v>1</v>
      </c>
      <c r="N1552" s="2">
        <v>5.3199136076983713</v>
      </c>
    </row>
    <row r="1553" spans="9:14" x14ac:dyDescent="0.15">
      <c r="I1553">
        <v>1549</v>
      </c>
      <c r="J1553" t="s">
        <v>3</v>
      </c>
      <c r="K1553" s="1">
        <v>38045</v>
      </c>
      <c r="L1553" t="s">
        <v>11</v>
      </c>
      <c r="M1553" s="3">
        <v>42</v>
      </c>
      <c r="N1553" s="2">
        <v>128.72768952762647</v>
      </c>
    </row>
    <row r="1554" spans="9:14" x14ac:dyDescent="0.15">
      <c r="I1554">
        <v>1550</v>
      </c>
      <c r="J1554" t="s">
        <v>7</v>
      </c>
      <c r="K1554" s="1">
        <v>38705</v>
      </c>
      <c r="L1554" t="s">
        <v>11</v>
      </c>
      <c r="M1554" s="3">
        <v>45</v>
      </c>
      <c r="N1554" s="2">
        <v>137.92982227055688</v>
      </c>
    </row>
    <row r="1555" spans="9:14" x14ac:dyDescent="0.15">
      <c r="I1555">
        <v>1551</v>
      </c>
      <c r="J1555" t="s">
        <v>5</v>
      </c>
      <c r="K1555" s="1">
        <v>38276</v>
      </c>
      <c r="L1555" t="s">
        <v>10</v>
      </c>
      <c r="M1555" s="3">
        <v>26</v>
      </c>
      <c r="N1555" s="2">
        <v>80.031587793648399</v>
      </c>
    </row>
    <row r="1556" spans="9:14" x14ac:dyDescent="0.15">
      <c r="I1556">
        <v>1552</v>
      </c>
      <c r="J1556" t="s">
        <v>6</v>
      </c>
      <c r="K1556" s="1">
        <v>38012</v>
      </c>
      <c r="L1556" t="s">
        <v>11</v>
      </c>
      <c r="M1556" s="3">
        <v>72</v>
      </c>
      <c r="N1556" s="2">
        <v>218.32830582807657</v>
      </c>
    </row>
    <row r="1557" spans="9:14" x14ac:dyDescent="0.15">
      <c r="I1557">
        <v>1553</v>
      </c>
      <c r="J1557" t="s">
        <v>4</v>
      </c>
      <c r="K1557" s="1">
        <v>38925</v>
      </c>
      <c r="L1557" t="s">
        <v>11</v>
      </c>
      <c r="M1557" s="3">
        <v>-5</v>
      </c>
      <c r="N1557" s="2">
        <v>-13.390709583317436</v>
      </c>
    </row>
    <row r="1558" spans="9:14" x14ac:dyDescent="0.15">
      <c r="I1558">
        <v>1554</v>
      </c>
      <c r="J1558" t="s">
        <v>2</v>
      </c>
      <c r="K1558" s="1">
        <v>38067</v>
      </c>
      <c r="L1558" t="s">
        <v>9</v>
      </c>
      <c r="M1558" s="3">
        <v>31</v>
      </c>
      <c r="N1558" s="2">
        <v>94.662914692651583</v>
      </c>
    </row>
    <row r="1559" spans="9:14" x14ac:dyDescent="0.15">
      <c r="I1559">
        <v>1555</v>
      </c>
      <c r="J1559" t="s">
        <v>7</v>
      </c>
      <c r="K1559" s="1">
        <v>37990</v>
      </c>
      <c r="L1559" t="s">
        <v>10</v>
      </c>
      <c r="M1559" s="3">
        <v>48</v>
      </c>
      <c r="N1559" s="2">
        <v>145.90859800554551</v>
      </c>
    </row>
    <row r="1560" spans="9:14" x14ac:dyDescent="0.15">
      <c r="I1560">
        <v>1556</v>
      </c>
      <c r="J1560" t="s">
        <v>2</v>
      </c>
      <c r="K1560" s="1">
        <v>39024</v>
      </c>
      <c r="L1560" t="s">
        <v>12</v>
      </c>
      <c r="M1560" s="3">
        <v>84</v>
      </c>
      <c r="N1560" s="2">
        <v>253.59713370537463</v>
      </c>
    </row>
    <row r="1561" spans="9:14" x14ac:dyDescent="0.15">
      <c r="I1561">
        <v>1557</v>
      </c>
      <c r="J1561" t="s">
        <v>4</v>
      </c>
      <c r="K1561" s="1">
        <v>38771</v>
      </c>
      <c r="L1561" t="s">
        <v>11</v>
      </c>
      <c r="M1561" s="3">
        <v>54</v>
      </c>
      <c r="N1561" s="2">
        <v>163.89560832413773</v>
      </c>
    </row>
    <row r="1562" spans="9:14" x14ac:dyDescent="0.15">
      <c r="I1562">
        <v>1558</v>
      </c>
      <c r="J1562" t="s">
        <v>2</v>
      </c>
      <c r="K1562" s="1">
        <v>38001</v>
      </c>
      <c r="L1562" t="s">
        <v>12</v>
      </c>
      <c r="M1562" s="3">
        <v>44</v>
      </c>
      <c r="N1562" s="2">
        <v>134.18925327531994</v>
      </c>
    </row>
    <row r="1563" spans="9:14" x14ac:dyDescent="0.15">
      <c r="I1563">
        <v>1559</v>
      </c>
      <c r="J1563" t="s">
        <v>1</v>
      </c>
      <c r="K1563" s="1">
        <v>38287</v>
      </c>
      <c r="L1563" t="s">
        <v>10</v>
      </c>
      <c r="M1563" s="3">
        <v>40</v>
      </c>
      <c r="N1563" s="2">
        <v>122.05331563226824</v>
      </c>
    </row>
    <row r="1564" spans="9:14" x14ac:dyDescent="0.15">
      <c r="I1564">
        <v>1560</v>
      </c>
      <c r="J1564" t="s">
        <v>8</v>
      </c>
      <c r="K1564" s="1">
        <v>38595</v>
      </c>
      <c r="L1564" t="s">
        <v>10</v>
      </c>
      <c r="M1564" s="3">
        <v>25</v>
      </c>
      <c r="N1564" s="2">
        <v>76.896265241705308</v>
      </c>
    </row>
    <row r="1565" spans="9:14" x14ac:dyDescent="0.15">
      <c r="I1565">
        <v>1561</v>
      </c>
      <c r="J1565" t="s">
        <v>5</v>
      </c>
      <c r="K1565" s="1">
        <v>38045</v>
      </c>
      <c r="L1565" t="s">
        <v>10</v>
      </c>
      <c r="M1565" s="3">
        <v>-8</v>
      </c>
      <c r="N1565" s="2">
        <v>-21.481967764977714</v>
      </c>
    </row>
    <row r="1566" spans="9:14" x14ac:dyDescent="0.15">
      <c r="I1566">
        <v>1562</v>
      </c>
      <c r="J1566" t="s">
        <v>1</v>
      </c>
      <c r="K1566" s="1">
        <v>38848</v>
      </c>
      <c r="L1566" t="s">
        <v>11</v>
      </c>
      <c r="M1566" s="3">
        <v>59</v>
      </c>
      <c r="N1566" s="2">
        <v>178.70076770818625</v>
      </c>
    </row>
    <row r="1567" spans="9:14" x14ac:dyDescent="0.15">
      <c r="I1567">
        <v>1563</v>
      </c>
      <c r="J1567" t="s">
        <v>4</v>
      </c>
      <c r="K1567" s="1">
        <v>38342</v>
      </c>
      <c r="L1567" t="s">
        <v>11</v>
      </c>
      <c r="M1567" s="3">
        <v>59</v>
      </c>
      <c r="N1567" s="2">
        <v>179.09938274190853</v>
      </c>
    </row>
    <row r="1568" spans="9:14" x14ac:dyDescent="0.15">
      <c r="I1568">
        <v>1564</v>
      </c>
      <c r="J1568" t="s">
        <v>5</v>
      </c>
      <c r="K1568" s="1">
        <v>38672</v>
      </c>
      <c r="L1568" t="s">
        <v>9</v>
      </c>
      <c r="M1568" s="3">
        <v>34</v>
      </c>
      <c r="N1568" s="2">
        <v>103.72320973361035</v>
      </c>
    </row>
    <row r="1569" spans="9:14" x14ac:dyDescent="0.15">
      <c r="I1569">
        <v>1565</v>
      </c>
      <c r="J1569" t="s">
        <v>5</v>
      </c>
      <c r="K1569" s="1">
        <v>38320</v>
      </c>
      <c r="L1569" t="s">
        <v>12</v>
      </c>
      <c r="M1569" s="3">
        <v>27</v>
      </c>
      <c r="N1569" s="2">
        <v>82.680755879941501</v>
      </c>
    </row>
    <row r="1570" spans="9:14" x14ac:dyDescent="0.15">
      <c r="I1570">
        <v>1566</v>
      </c>
      <c r="J1570" t="s">
        <v>7</v>
      </c>
      <c r="K1570" s="1">
        <v>39013</v>
      </c>
      <c r="L1570" t="s">
        <v>9</v>
      </c>
      <c r="M1570" s="3">
        <v>3</v>
      </c>
      <c r="N1570" s="2">
        <v>10.695067513438698</v>
      </c>
    </row>
    <row r="1571" spans="9:14" x14ac:dyDescent="0.15">
      <c r="I1571">
        <v>1567</v>
      </c>
      <c r="J1571" t="s">
        <v>3</v>
      </c>
      <c r="K1571" s="1">
        <v>38584</v>
      </c>
      <c r="L1571" t="s">
        <v>12</v>
      </c>
      <c r="M1571" s="3">
        <v>89</v>
      </c>
      <c r="N1571" s="2">
        <v>269.11976111617605</v>
      </c>
    </row>
    <row r="1572" spans="9:14" x14ac:dyDescent="0.15">
      <c r="I1572">
        <v>1568</v>
      </c>
      <c r="J1572" t="s">
        <v>3</v>
      </c>
      <c r="K1572" s="1">
        <v>38485</v>
      </c>
      <c r="L1572" t="s">
        <v>11</v>
      </c>
      <c r="M1572" s="3">
        <v>58</v>
      </c>
      <c r="N1572" s="2">
        <v>175.98159998303569</v>
      </c>
    </row>
    <row r="1573" spans="9:14" x14ac:dyDescent="0.15">
      <c r="I1573">
        <v>1569</v>
      </c>
      <c r="J1573" t="s">
        <v>7</v>
      </c>
      <c r="K1573" s="1">
        <v>38364</v>
      </c>
      <c r="L1573" t="s">
        <v>13</v>
      </c>
      <c r="M1573" s="3">
        <v>52</v>
      </c>
      <c r="N1573" s="2">
        <v>158.04571793449091</v>
      </c>
    </row>
    <row r="1574" spans="9:14" x14ac:dyDescent="0.15">
      <c r="I1574">
        <v>1570</v>
      </c>
      <c r="J1574" t="s">
        <v>7</v>
      </c>
      <c r="K1574" s="1">
        <v>38925</v>
      </c>
      <c r="L1574" t="s">
        <v>12</v>
      </c>
      <c r="M1574" s="3">
        <v>32</v>
      </c>
      <c r="N1574" s="2">
        <v>98.04752721295516</v>
      </c>
    </row>
    <row r="1575" spans="9:14" x14ac:dyDescent="0.15">
      <c r="I1575">
        <v>1571</v>
      </c>
      <c r="J1575" t="s">
        <v>1</v>
      </c>
      <c r="K1575" s="1">
        <v>38606</v>
      </c>
      <c r="L1575" t="s">
        <v>12</v>
      </c>
      <c r="M1575" s="3">
        <v>3</v>
      </c>
      <c r="N1575" s="2">
        <v>10.584064694476611</v>
      </c>
    </row>
    <row r="1576" spans="9:14" x14ac:dyDescent="0.15">
      <c r="I1576">
        <v>1572</v>
      </c>
      <c r="J1576" t="s">
        <v>4</v>
      </c>
      <c r="K1576" s="1">
        <v>38309</v>
      </c>
      <c r="L1576" t="s">
        <v>11</v>
      </c>
      <c r="M1576" s="3">
        <v>45</v>
      </c>
      <c r="N1576" s="2">
        <v>137.07935411238626</v>
      </c>
    </row>
    <row r="1577" spans="9:14" x14ac:dyDescent="0.15">
      <c r="I1577">
        <v>1573</v>
      </c>
      <c r="J1577" t="s">
        <v>2</v>
      </c>
      <c r="K1577" s="1">
        <v>38320</v>
      </c>
      <c r="L1577" t="s">
        <v>11</v>
      </c>
      <c r="M1577" s="3">
        <v>91</v>
      </c>
      <c r="N1577" s="2">
        <v>275.55805251311767</v>
      </c>
    </row>
    <row r="1578" spans="9:14" x14ac:dyDescent="0.15">
      <c r="I1578">
        <v>1574</v>
      </c>
      <c r="J1578" t="s">
        <v>4</v>
      </c>
      <c r="K1578" s="1">
        <v>38760</v>
      </c>
      <c r="L1578" t="s">
        <v>9</v>
      </c>
      <c r="M1578" s="3">
        <v>-8</v>
      </c>
      <c r="N1578" s="2">
        <v>-21.448768772248492</v>
      </c>
    </row>
    <row r="1579" spans="9:14" x14ac:dyDescent="0.15">
      <c r="I1579">
        <v>1575</v>
      </c>
      <c r="J1579" t="s">
        <v>8</v>
      </c>
      <c r="K1579" s="1">
        <v>38430</v>
      </c>
      <c r="L1579" t="s">
        <v>12</v>
      </c>
      <c r="M1579" s="3">
        <v>-7</v>
      </c>
      <c r="N1579" s="2">
        <v>-19.136046094162346</v>
      </c>
    </row>
    <row r="1580" spans="9:14" x14ac:dyDescent="0.15">
      <c r="I1580">
        <v>1576</v>
      </c>
      <c r="J1580" t="s">
        <v>3</v>
      </c>
      <c r="K1580" s="1">
        <v>38661</v>
      </c>
      <c r="L1580" t="s">
        <v>9</v>
      </c>
      <c r="M1580" s="3">
        <v>33</v>
      </c>
      <c r="N1580" s="2">
        <v>100.88649672562114</v>
      </c>
    </row>
    <row r="1581" spans="9:14" x14ac:dyDescent="0.15">
      <c r="I1581">
        <v>1577</v>
      </c>
      <c r="J1581" t="s">
        <v>2</v>
      </c>
      <c r="K1581" s="1">
        <v>38485</v>
      </c>
      <c r="L1581" t="s">
        <v>10</v>
      </c>
      <c r="M1581" s="3">
        <v>-7</v>
      </c>
      <c r="N1581" s="2">
        <v>-18.807164790570987</v>
      </c>
    </row>
    <row r="1582" spans="9:14" x14ac:dyDescent="0.15">
      <c r="I1582">
        <v>1578</v>
      </c>
      <c r="J1582" t="s">
        <v>2</v>
      </c>
      <c r="K1582" s="1">
        <v>39002</v>
      </c>
      <c r="L1582" t="s">
        <v>9</v>
      </c>
      <c r="M1582" s="3">
        <v>82</v>
      </c>
      <c r="N1582" s="2">
        <v>248.42543228494586</v>
      </c>
    </row>
    <row r="1583" spans="9:14" x14ac:dyDescent="0.15">
      <c r="I1583">
        <v>1579</v>
      </c>
      <c r="J1583" t="s">
        <v>6</v>
      </c>
      <c r="K1583" s="1">
        <v>38144</v>
      </c>
      <c r="L1583" t="s">
        <v>11</v>
      </c>
      <c r="M1583" s="3">
        <v>87</v>
      </c>
      <c r="N1583" s="2">
        <v>262.84645942190497</v>
      </c>
    </row>
    <row r="1584" spans="9:14" x14ac:dyDescent="0.15">
      <c r="I1584">
        <v>1580</v>
      </c>
      <c r="J1584" t="s">
        <v>7</v>
      </c>
      <c r="K1584" s="1">
        <v>38397</v>
      </c>
      <c r="L1584" t="s">
        <v>12</v>
      </c>
      <c r="M1584" s="3">
        <v>93</v>
      </c>
      <c r="N1584" s="2">
        <v>281.52944446781271</v>
      </c>
    </row>
    <row r="1585" spans="9:14" x14ac:dyDescent="0.15">
      <c r="I1585">
        <v>1581</v>
      </c>
      <c r="J1585" t="s">
        <v>1</v>
      </c>
      <c r="K1585" s="1">
        <v>38639</v>
      </c>
      <c r="L1585" t="s">
        <v>9</v>
      </c>
      <c r="M1585" s="3">
        <v>72</v>
      </c>
      <c r="N1585" s="2">
        <v>218.16905589645697</v>
      </c>
    </row>
    <row r="1586" spans="9:14" x14ac:dyDescent="0.15">
      <c r="I1586">
        <v>1582</v>
      </c>
      <c r="J1586" t="s">
        <v>0</v>
      </c>
      <c r="K1586" s="1">
        <v>38276</v>
      </c>
      <c r="L1586" t="s">
        <v>12</v>
      </c>
      <c r="M1586" s="3">
        <v>11</v>
      </c>
      <c r="N1586" s="2">
        <v>35.116221937392133</v>
      </c>
    </row>
    <row r="1587" spans="9:14" x14ac:dyDescent="0.15">
      <c r="I1587">
        <v>1583</v>
      </c>
      <c r="J1587" t="s">
        <v>2</v>
      </c>
      <c r="K1587" s="1">
        <v>38914</v>
      </c>
      <c r="L1587" t="s">
        <v>10</v>
      </c>
      <c r="M1587" s="3">
        <v>18</v>
      </c>
      <c r="N1587" s="2">
        <v>55.780124801169777</v>
      </c>
    </row>
    <row r="1588" spans="9:14" x14ac:dyDescent="0.15">
      <c r="I1588">
        <v>1584</v>
      </c>
      <c r="J1588" t="s">
        <v>8</v>
      </c>
      <c r="K1588" s="1">
        <v>38947</v>
      </c>
      <c r="L1588" t="s">
        <v>9</v>
      </c>
      <c r="M1588" s="3">
        <v>93</v>
      </c>
      <c r="N1588" s="2">
        <v>281.25885991416516</v>
      </c>
    </row>
    <row r="1589" spans="9:14" x14ac:dyDescent="0.15">
      <c r="I1589">
        <v>1585</v>
      </c>
      <c r="J1589" t="s">
        <v>3</v>
      </c>
      <c r="K1589" s="1">
        <v>38584</v>
      </c>
      <c r="L1589" t="s">
        <v>9</v>
      </c>
      <c r="M1589" s="3">
        <v>56</v>
      </c>
      <c r="N1589" s="2">
        <v>170.42559015332697</v>
      </c>
    </row>
    <row r="1590" spans="9:14" x14ac:dyDescent="0.15">
      <c r="I1590">
        <v>1586</v>
      </c>
      <c r="J1590" t="s">
        <v>6</v>
      </c>
      <c r="K1590" s="1">
        <v>38254</v>
      </c>
      <c r="L1590" t="s">
        <v>10</v>
      </c>
      <c r="M1590" s="3">
        <v>66</v>
      </c>
      <c r="N1590" s="2">
        <v>199.70274563442874</v>
      </c>
    </row>
    <row r="1591" spans="9:14" x14ac:dyDescent="0.15">
      <c r="I1591">
        <v>1587</v>
      </c>
      <c r="J1591" t="s">
        <v>6</v>
      </c>
      <c r="K1591" s="1">
        <v>38364</v>
      </c>
      <c r="L1591" t="s">
        <v>10</v>
      </c>
      <c r="M1591" s="3">
        <v>95</v>
      </c>
      <c r="N1591" s="2">
        <v>286.75530123408925</v>
      </c>
    </row>
    <row r="1592" spans="9:14" x14ac:dyDescent="0.15">
      <c r="I1592">
        <v>1588</v>
      </c>
      <c r="J1592" t="s">
        <v>4</v>
      </c>
      <c r="K1592" s="1">
        <v>38540</v>
      </c>
      <c r="L1592" t="s">
        <v>12</v>
      </c>
      <c r="M1592" s="3">
        <v>61</v>
      </c>
      <c r="N1592" s="2">
        <v>184.83908498989172</v>
      </c>
    </row>
    <row r="1593" spans="9:14" x14ac:dyDescent="0.15">
      <c r="I1593">
        <v>1589</v>
      </c>
      <c r="J1593" t="s">
        <v>2</v>
      </c>
      <c r="K1593" s="1">
        <v>38914</v>
      </c>
      <c r="L1593" t="s">
        <v>10</v>
      </c>
      <c r="M1593" s="3">
        <v>26</v>
      </c>
      <c r="N1593" s="2">
        <v>79.322466776997217</v>
      </c>
    </row>
    <row r="1594" spans="9:14" x14ac:dyDescent="0.15">
      <c r="I1594">
        <v>1590</v>
      </c>
      <c r="J1594" t="s">
        <v>5</v>
      </c>
      <c r="K1594" s="1">
        <v>38694</v>
      </c>
      <c r="L1594" t="s">
        <v>12</v>
      </c>
      <c r="M1594" s="3">
        <v>29</v>
      </c>
      <c r="N1594" s="2">
        <v>89.116436100256237</v>
      </c>
    </row>
    <row r="1595" spans="9:14" x14ac:dyDescent="0.15">
      <c r="I1595">
        <v>1591</v>
      </c>
      <c r="J1595" t="s">
        <v>5</v>
      </c>
      <c r="K1595" s="1">
        <v>38397</v>
      </c>
      <c r="L1595" t="s">
        <v>10</v>
      </c>
      <c r="M1595" s="3">
        <v>61</v>
      </c>
      <c r="N1595" s="2">
        <v>184.79269376899887</v>
      </c>
    </row>
    <row r="1596" spans="9:14" x14ac:dyDescent="0.15">
      <c r="I1596">
        <v>1592</v>
      </c>
      <c r="J1596" t="s">
        <v>3</v>
      </c>
      <c r="K1596" s="1">
        <v>38881</v>
      </c>
      <c r="L1596" t="s">
        <v>12</v>
      </c>
      <c r="M1596" s="3">
        <v>-3</v>
      </c>
      <c r="N1596" s="2">
        <v>-7.0063461933355882</v>
      </c>
    </row>
    <row r="1597" spans="9:14" x14ac:dyDescent="0.15">
      <c r="I1597">
        <v>1593</v>
      </c>
      <c r="J1597" t="s">
        <v>7</v>
      </c>
      <c r="K1597" s="1">
        <v>38727</v>
      </c>
      <c r="L1597" t="s">
        <v>9</v>
      </c>
      <c r="M1597" s="3">
        <v>40</v>
      </c>
      <c r="N1597" s="2">
        <v>122.05274122201725</v>
      </c>
    </row>
    <row r="1598" spans="9:14" x14ac:dyDescent="0.15">
      <c r="I1598">
        <v>1594</v>
      </c>
      <c r="J1598" t="s">
        <v>3</v>
      </c>
      <c r="K1598" s="1">
        <v>38914</v>
      </c>
      <c r="L1598" t="s">
        <v>9</v>
      </c>
      <c r="M1598" s="3">
        <v>86</v>
      </c>
      <c r="N1598" s="2">
        <v>260.36699971588303</v>
      </c>
    </row>
    <row r="1599" spans="9:14" x14ac:dyDescent="0.15">
      <c r="I1599">
        <v>1595</v>
      </c>
      <c r="J1599" t="s">
        <v>7</v>
      </c>
      <c r="K1599" s="1">
        <v>38507</v>
      </c>
      <c r="L1599" t="s">
        <v>13</v>
      </c>
      <c r="M1599" s="3">
        <v>58</v>
      </c>
      <c r="N1599" s="2">
        <v>176.57900116326704</v>
      </c>
    </row>
    <row r="1600" spans="9:14" x14ac:dyDescent="0.15">
      <c r="I1600">
        <v>1596</v>
      </c>
      <c r="J1600" t="s">
        <v>3</v>
      </c>
      <c r="K1600" s="1">
        <v>38397</v>
      </c>
      <c r="L1600" t="s">
        <v>11</v>
      </c>
      <c r="M1600" s="3">
        <v>13</v>
      </c>
      <c r="N1600" s="2">
        <v>41.15897784518318</v>
      </c>
    </row>
    <row r="1601" spans="9:14" x14ac:dyDescent="0.15">
      <c r="I1601">
        <v>1597</v>
      </c>
      <c r="J1601" t="s">
        <v>7</v>
      </c>
      <c r="K1601" s="1">
        <v>39079</v>
      </c>
      <c r="L1601" t="s">
        <v>11</v>
      </c>
      <c r="M1601" s="3">
        <v>14</v>
      </c>
      <c r="N1601" s="2">
        <v>44.433583210085722</v>
      </c>
    </row>
    <row r="1602" spans="9:14" x14ac:dyDescent="0.15">
      <c r="I1602">
        <v>1598</v>
      </c>
      <c r="J1602" t="s">
        <v>5</v>
      </c>
      <c r="K1602" s="1">
        <v>38463</v>
      </c>
      <c r="L1602" t="s">
        <v>12</v>
      </c>
      <c r="M1602" s="3">
        <v>85</v>
      </c>
      <c r="N1602" s="2">
        <v>256.67637583501136</v>
      </c>
    </row>
    <row r="1603" spans="9:14" x14ac:dyDescent="0.15">
      <c r="I1603">
        <v>1599</v>
      </c>
      <c r="J1603" t="s">
        <v>1</v>
      </c>
      <c r="K1603" s="1">
        <v>38749</v>
      </c>
      <c r="L1603" t="s">
        <v>10</v>
      </c>
      <c r="M1603" s="3">
        <v>42</v>
      </c>
      <c r="N1603" s="2">
        <v>127.6000829370011</v>
      </c>
    </row>
    <row r="1604" spans="9:14" x14ac:dyDescent="0.15">
      <c r="I1604">
        <v>1600</v>
      </c>
      <c r="J1604" t="s">
        <v>7</v>
      </c>
      <c r="K1604" s="1">
        <v>39035</v>
      </c>
      <c r="L1604" t="s">
        <v>13</v>
      </c>
      <c r="M1604" s="3">
        <v>11</v>
      </c>
      <c r="N1604" s="2">
        <v>35.427503831280553</v>
      </c>
    </row>
    <row r="1605" spans="9:14" x14ac:dyDescent="0.15">
      <c r="I1605">
        <v>1601</v>
      </c>
      <c r="J1605" t="s">
        <v>0</v>
      </c>
      <c r="K1605" s="1">
        <v>38012</v>
      </c>
      <c r="L1605" t="s">
        <v>10</v>
      </c>
      <c r="M1605" s="3">
        <v>32</v>
      </c>
      <c r="N1605" s="2">
        <v>98.405028744773347</v>
      </c>
    </row>
    <row r="1606" spans="9:14" x14ac:dyDescent="0.15">
      <c r="I1606">
        <v>1602</v>
      </c>
      <c r="J1606" t="s">
        <v>3</v>
      </c>
      <c r="K1606" s="1">
        <v>38375</v>
      </c>
      <c r="L1606" t="s">
        <v>10</v>
      </c>
      <c r="M1606" s="3">
        <v>79</v>
      </c>
      <c r="N1606" s="2">
        <v>239.26463824341167</v>
      </c>
    </row>
    <row r="1607" spans="9:14" x14ac:dyDescent="0.15">
      <c r="I1607">
        <v>1603</v>
      </c>
      <c r="J1607" t="s">
        <v>5</v>
      </c>
      <c r="K1607" s="1">
        <v>38155</v>
      </c>
      <c r="L1607" t="s">
        <v>10</v>
      </c>
      <c r="M1607" s="3">
        <v>25</v>
      </c>
      <c r="N1607" s="2">
        <v>77.046747006624841</v>
      </c>
    </row>
    <row r="1608" spans="9:14" x14ac:dyDescent="0.15">
      <c r="I1608">
        <v>1604</v>
      </c>
      <c r="J1608" t="s">
        <v>1</v>
      </c>
      <c r="K1608" s="1">
        <v>38683</v>
      </c>
      <c r="L1608" t="s">
        <v>9</v>
      </c>
      <c r="M1608" s="3">
        <v>94</v>
      </c>
      <c r="N1608" s="2">
        <v>284.06034486899824</v>
      </c>
    </row>
    <row r="1609" spans="9:14" x14ac:dyDescent="0.15">
      <c r="I1609">
        <v>1605</v>
      </c>
      <c r="J1609" t="s">
        <v>2</v>
      </c>
      <c r="K1609" s="1">
        <v>39035</v>
      </c>
      <c r="L1609" t="s">
        <v>11</v>
      </c>
      <c r="M1609" s="3">
        <v>6</v>
      </c>
      <c r="N1609" s="2">
        <v>20.057205766736782</v>
      </c>
    </row>
    <row r="1610" spans="9:14" x14ac:dyDescent="0.15">
      <c r="I1610">
        <v>1606</v>
      </c>
      <c r="J1610" t="s">
        <v>4</v>
      </c>
      <c r="K1610" s="1">
        <v>38518</v>
      </c>
      <c r="L1610" t="s">
        <v>13</v>
      </c>
      <c r="M1610" s="3">
        <v>15</v>
      </c>
      <c r="N1610" s="2">
        <v>46.567063375670365</v>
      </c>
    </row>
    <row r="1611" spans="9:14" x14ac:dyDescent="0.15">
      <c r="I1611">
        <v>1607</v>
      </c>
      <c r="J1611" t="s">
        <v>1</v>
      </c>
      <c r="K1611" s="1">
        <v>38166</v>
      </c>
      <c r="L1611" t="s">
        <v>11</v>
      </c>
      <c r="M1611" s="3">
        <v>15</v>
      </c>
      <c r="N1611" s="2">
        <v>47.252520248890754</v>
      </c>
    </row>
    <row r="1612" spans="9:14" x14ac:dyDescent="0.15">
      <c r="I1612">
        <v>1608</v>
      </c>
      <c r="J1612" t="s">
        <v>5</v>
      </c>
      <c r="K1612" s="1">
        <v>38056</v>
      </c>
      <c r="L1612" t="s">
        <v>9</v>
      </c>
      <c r="M1612" s="3">
        <v>81</v>
      </c>
      <c r="N1612" s="2">
        <v>244.70980660248637</v>
      </c>
    </row>
    <row r="1613" spans="9:14" x14ac:dyDescent="0.15">
      <c r="I1613">
        <v>1609</v>
      </c>
      <c r="J1613" t="s">
        <v>8</v>
      </c>
      <c r="K1613" s="1">
        <v>38452</v>
      </c>
      <c r="L1613" t="s">
        <v>11</v>
      </c>
      <c r="M1613" s="3">
        <v>94</v>
      </c>
      <c r="N1613" s="2">
        <v>283.45878652006695</v>
      </c>
    </row>
    <row r="1614" spans="9:14" x14ac:dyDescent="0.15">
      <c r="I1614">
        <v>1610</v>
      </c>
      <c r="J1614" t="s">
        <v>4</v>
      </c>
      <c r="K1614" s="1">
        <v>38001</v>
      </c>
      <c r="L1614" t="s">
        <v>12</v>
      </c>
      <c r="M1614" s="3">
        <v>11</v>
      </c>
      <c r="N1614" s="2">
        <v>35.187328425003173</v>
      </c>
    </row>
    <row r="1615" spans="9:14" x14ac:dyDescent="0.15">
      <c r="I1615">
        <v>1611</v>
      </c>
      <c r="J1615" t="s">
        <v>2</v>
      </c>
      <c r="K1615" s="1">
        <v>38078</v>
      </c>
      <c r="L1615" t="s">
        <v>11</v>
      </c>
      <c r="M1615" s="3">
        <v>12</v>
      </c>
      <c r="N1615" s="2">
        <v>38.183005482105493</v>
      </c>
    </row>
    <row r="1616" spans="9:14" x14ac:dyDescent="0.15">
      <c r="I1616">
        <v>1612</v>
      </c>
      <c r="J1616" t="s">
        <v>3</v>
      </c>
      <c r="K1616" s="1">
        <v>38595</v>
      </c>
      <c r="L1616" t="s">
        <v>11</v>
      </c>
      <c r="M1616" s="3">
        <v>85</v>
      </c>
      <c r="N1616" s="2">
        <v>257.13848470493929</v>
      </c>
    </row>
    <row r="1617" spans="9:14" x14ac:dyDescent="0.15">
      <c r="I1617">
        <v>1613</v>
      </c>
      <c r="J1617" t="s">
        <v>4</v>
      </c>
      <c r="K1617" s="1">
        <v>39046</v>
      </c>
      <c r="L1617" t="s">
        <v>11</v>
      </c>
      <c r="M1617" s="3">
        <v>39</v>
      </c>
      <c r="N1617" s="2">
        <v>119.05508877849219</v>
      </c>
    </row>
    <row r="1618" spans="9:14" x14ac:dyDescent="0.15">
      <c r="I1618">
        <v>1614</v>
      </c>
      <c r="J1618" t="s">
        <v>4</v>
      </c>
      <c r="K1618" s="1">
        <v>38177</v>
      </c>
      <c r="L1618" t="s">
        <v>9</v>
      </c>
      <c r="M1618" s="3">
        <v>9</v>
      </c>
      <c r="N1618" s="2">
        <v>29.108535014212187</v>
      </c>
    </row>
    <row r="1619" spans="9:14" x14ac:dyDescent="0.15">
      <c r="I1619">
        <v>1615</v>
      </c>
      <c r="J1619" t="s">
        <v>4</v>
      </c>
      <c r="K1619" s="1">
        <v>38386</v>
      </c>
      <c r="L1619" t="s">
        <v>12</v>
      </c>
      <c r="M1619" s="3">
        <v>25</v>
      </c>
      <c r="N1619" s="2">
        <v>77.542041967509959</v>
      </c>
    </row>
    <row r="1620" spans="9:14" x14ac:dyDescent="0.15">
      <c r="I1620">
        <v>1616</v>
      </c>
      <c r="J1620" t="s">
        <v>0</v>
      </c>
      <c r="K1620" s="1">
        <v>38144</v>
      </c>
      <c r="L1620" t="s">
        <v>11</v>
      </c>
      <c r="M1620" s="3">
        <v>79</v>
      </c>
      <c r="N1620" s="2">
        <v>239.89003921274065</v>
      </c>
    </row>
    <row r="1621" spans="9:14" x14ac:dyDescent="0.15">
      <c r="I1621">
        <v>1617</v>
      </c>
      <c r="J1621" t="s">
        <v>3</v>
      </c>
      <c r="K1621" s="1">
        <v>38133</v>
      </c>
      <c r="L1621" t="s">
        <v>11</v>
      </c>
      <c r="M1621" s="3">
        <v>83</v>
      </c>
      <c r="N1621" s="2">
        <v>250.62172213757762</v>
      </c>
    </row>
    <row r="1622" spans="9:14" x14ac:dyDescent="0.15">
      <c r="I1622">
        <v>1618</v>
      </c>
      <c r="J1622" t="s">
        <v>3</v>
      </c>
      <c r="K1622" s="1">
        <v>38694</v>
      </c>
      <c r="L1622" t="s">
        <v>9</v>
      </c>
      <c r="M1622" s="3">
        <v>-3</v>
      </c>
      <c r="N1622" s="2">
        <v>-6.4441526293000173</v>
      </c>
    </row>
    <row r="1623" spans="9:14" x14ac:dyDescent="0.15">
      <c r="I1623">
        <v>1619</v>
      </c>
      <c r="J1623" t="s">
        <v>7</v>
      </c>
      <c r="K1623" s="1">
        <v>38771</v>
      </c>
      <c r="L1623" t="s">
        <v>12</v>
      </c>
      <c r="M1623" s="3">
        <v>62</v>
      </c>
      <c r="N1623" s="2">
        <v>188.23625463241646</v>
      </c>
    </row>
    <row r="1624" spans="9:14" x14ac:dyDescent="0.15">
      <c r="I1624">
        <v>1620</v>
      </c>
      <c r="J1624" t="s">
        <v>7</v>
      </c>
      <c r="K1624" s="1">
        <v>38023</v>
      </c>
      <c r="L1624" t="s">
        <v>11</v>
      </c>
      <c r="M1624" s="3">
        <v>6</v>
      </c>
      <c r="N1624" s="2">
        <v>19.315165106288639</v>
      </c>
    </row>
    <row r="1625" spans="9:14" x14ac:dyDescent="0.15">
      <c r="I1625">
        <v>1621</v>
      </c>
      <c r="J1625" t="s">
        <v>6</v>
      </c>
      <c r="K1625" s="1">
        <v>38815</v>
      </c>
      <c r="L1625" t="s">
        <v>12</v>
      </c>
      <c r="M1625" s="3">
        <v>13</v>
      </c>
      <c r="N1625" s="2">
        <v>41.394747641625173</v>
      </c>
    </row>
    <row r="1626" spans="9:14" x14ac:dyDescent="0.15">
      <c r="I1626">
        <v>1622</v>
      </c>
      <c r="J1626" t="s">
        <v>5</v>
      </c>
      <c r="K1626" s="1">
        <v>38617</v>
      </c>
      <c r="L1626" t="s">
        <v>11</v>
      </c>
      <c r="M1626" s="3">
        <v>88</v>
      </c>
      <c r="N1626" s="2">
        <v>266.15306975216902</v>
      </c>
    </row>
    <row r="1627" spans="9:14" x14ac:dyDescent="0.15">
      <c r="I1627">
        <v>1623</v>
      </c>
      <c r="J1627" t="s">
        <v>5</v>
      </c>
      <c r="K1627" s="1">
        <v>38089</v>
      </c>
      <c r="L1627" t="s">
        <v>11</v>
      </c>
      <c r="M1627" s="3">
        <v>35</v>
      </c>
      <c r="N1627" s="2">
        <v>106.7048352932988</v>
      </c>
    </row>
    <row r="1628" spans="9:14" x14ac:dyDescent="0.15">
      <c r="I1628">
        <v>1624</v>
      </c>
      <c r="J1628" t="s">
        <v>1</v>
      </c>
      <c r="K1628" s="1">
        <v>38276</v>
      </c>
      <c r="L1628" t="s">
        <v>11</v>
      </c>
      <c r="M1628" s="3">
        <v>61</v>
      </c>
      <c r="N1628" s="2">
        <v>185.38182854142642</v>
      </c>
    </row>
    <row r="1629" spans="9:14" x14ac:dyDescent="0.15">
      <c r="I1629">
        <v>1625</v>
      </c>
      <c r="J1629" t="s">
        <v>3</v>
      </c>
      <c r="K1629" s="1">
        <v>38562</v>
      </c>
      <c r="L1629" t="s">
        <v>11</v>
      </c>
      <c r="M1629" s="3">
        <v>95</v>
      </c>
      <c r="N1629" s="2">
        <v>287.15467709700755</v>
      </c>
    </row>
    <row r="1630" spans="9:14" x14ac:dyDescent="0.15">
      <c r="I1630">
        <v>1626</v>
      </c>
      <c r="J1630" t="s">
        <v>5</v>
      </c>
      <c r="K1630" s="1">
        <v>38353</v>
      </c>
      <c r="L1630" t="s">
        <v>11</v>
      </c>
      <c r="M1630" s="3">
        <v>30</v>
      </c>
      <c r="N1630" s="2">
        <v>92.417025758970482</v>
      </c>
    </row>
    <row r="1631" spans="9:14" x14ac:dyDescent="0.15">
      <c r="I1631">
        <v>1627</v>
      </c>
      <c r="J1631" t="s">
        <v>5</v>
      </c>
      <c r="K1631" s="1">
        <v>38914</v>
      </c>
      <c r="L1631" t="s">
        <v>11</v>
      </c>
      <c r="M1631" s="3">
        <v>-1</v>
      </c>
      <c r="N1631" s="2">
        <v>-1.6370674232788498</v>
      </c>
    </row>
    <row r="1632" spans="9:14" x14ac:dyDescent="0.15">
      <c r="I1632">
        <v>1628</v>
      </c>
      <c r="J1632" t="s">
        <v>8</v>
      </c>
      <c r="K1632" s="1">
        <v>38353</v>
      </c>
      <c r="L1632" t="s">
        <v>13</v>
      </c>
      <c r="M1632" s="3">
        <v>5</v>
      </c>
      <c r="N1632" s="2">
        <v>16.92808141657132</v>
      </c>
    </row>
    <row r="1633" spans="9:14" x14ac:dyDescent="0.15">
      <c r="I1633">
        <v>1629</v>
      </c>
      <c r="J1633" t="s">
        <v>8</v>
      </c>
      <c r="K1633" s="1">
        <v>38419</v>
      </c>
      <c r="L1633" t="s">
        <v>9</v>
      </c>
      <c r="M1633" s="3">
        <v>42</v>
      </c>
      <c r="N1633" s="2">
        <v>127.31651996144141</v>
      </c>
    </row>
    <row r="1634" spans="9:14" x14ac:dyDescent="0.15">
      <c r="I1634">
        <v>1630</v>
      </c>
      <c r="J1634" t="s">
        <v>4</v>
      </c>
      <c r="K1634" s="1">
        <v>38474</v>
      </c>
      <c r="L1634" t="s">
        <v>11</v>
      </c>
      <c r="M1634" s="3">
        <v>14</v>
      </c>
      <c r="N1634" s="2">
        <v>44.540640710887878</v>
      </c>
    </row>
    <row r="1635" spans="9:14" x14ac:dyDescent="0.15">
      <c r="I1635">
        <v>1631</v>
      </c>
      <c r="J1635" t="s">
        <v>1</v>
      </c>
      <c r="K1635" s="1">
        <v>38573</v>
      </c>
      <c r="L1635" t="s">
        <v>11</v>
      </c>
      <c r="M1635" s="3">
        <v>-4</v>
      </c>
      <c r="N1635" s="2">
        <v>-10.005990967007831</v>
      </c>
    </row>
    <row r="1636" spans="9:14" x14ac:dyDescent="0.15">
      <c r="I1636">
        <v>1632</v>
      </c>
      <c r="J1636" t="s">
        <v>7</v>
      </c>
      <c r="K1636" s="1">
        <v>38738</v>
      </c>
      <c r="L1636" t="s">
        <v>9</v>
      </c>
      <c r="M1636" s="3">
        <v>27</v>
      </c>
      <c r="N1636" s="2">
        <v>82.256344701253937</v>
      </c>
    </row>
    <row r="1637" spans="9:14" x14ac:dyDescent="0.15">
      <c r="I1637">
        <v>1633</v>
      </c>
      <c r="J1637" t="s">
        <v>7</v>
      </c>
      <c r="K1637" s="1">
        <v>38111</v>
      </c>
      <c r="L1637" t="s">
        <v>12</v>
      </c>
      <c r="M1637" s="3">
        <v>5</v>
      </c>
      <c r="N1637" s="2">
        <v>17.11095820057195</v>
      </c>
    </row>
    <row r="1638" spans="9:14" x14ac:dyDescent="0.15">
      <c r="I1638">
        <v>1634</v>
      </c>
      <c r="J1638" t="s">
        <v>6</v>
      </c>
      <c r="K1638" s="1">
        <v>38430</v>
      </c>
      <c r="L1638" t="s">
        <v>12</v>
      </c>
      <c r="M1638" s="3">
        <v>57</v>
      </c>
      <c r="N1638" s="2">
        <v>173.29644937565891</v>
      </c>
    </row>
    <row r="1639" spans="9:14" x14ac:dyDescent="0.15">
      <c r="I1639">
        <v>1635</v>
      </c>
      <c r="J1639" t="s">
        <v>3</v>
      </c>
      <c r="K1639" s="1">
        <v>38265</v>
      </c>
      <c r="L1639" t="s">
        <v>10</v>
      </c>
      <c r="M1639" s="3">
        <v>78</v>
      </c>
      <c r="N1639" s="2">
        <v>235.61102661696142</v>
      </c>
    </row>
    <row r="1640" spans="9:14" x14ac:dyDescent="0.15">
      <c r="I1640">
        <v>1636</v>
      </c>
      <c r="J1640" t="s">
        <v>7</v>
      </c>
      <c r="K1640" s="1">
        <v>38969</v>
      </c>
      <c r="L1640" t="s">
        <v>12</v>
      </c>
      <c r="M1640" s="3">
        <v>11</v>
      </c>
      <c r="N1640" s="2">
        <v>35.303927193880931</v>
      </c>
    </row>
    <row r="1641" spans="9:14" x14ac:dyDescent="0.15">
      <c r="I1641">
        <v>1637</v>
      </c>
      <c r="J1641" t="s">
        <v>1</v>
      </c>
      <c r="K1641" s="1">
        <v>38265</v>
      </c>
      <c r="L1641" t="s">
        <v>10</v>
      </c>
      <c r="M1641" s="3">
        <v>55</v>
      </c>
      <c r="N1641" s="2">
        <v>166.9336198966493</v>
      </c>
    </row>
    <row r="1642" spans="9:14" x14ac:dyDescent="0.15">
      <c r="I1642">
        <v>1638</v>
      </c>
      <c r="J1642" t="s">
        <v>6</v>
      </c>
      <c r="K1642" s="1">
        <v>38265</v>
      </c>
      <c r="L1642" t="s">
        <v>12</v>
      </c>
      <c r="M1642" s="3">
        <v>15</v>
      </c>
      <c r="N1642" s="2">
        <v>46.988168377437937</v>
      </c>
    </row>
    <row r="1643" spans="9:14" x14ac:dyDescent="0.15">
      <c r="I1643">
        <v>1639</v>
      </c>
      <c r="J1643" t="s">
        <v>1</v>
      </c>
      <c r="K1643" s="1">
        <v>38023</v>
      </c>
      <c r="L1643" t="s">
        <v>11</v>
      </c>
      <c r="M1643" s="3">
        <v>53</v>
      </c>
      <c r="N1643" s="2">
        <v>161.39224032948613</v>
      </c>
    </row>
    <row r="1644" spans="9:14" x14ac:dyDescent="0.15">
      <c r="I1644">
        <v>1640</v>
      </c>
      <c r="J1644" t="s">
        <v>4</v>
      </c>
      <c r="K1644" s="1">
        <v>38584</v>
      </c>
      <c r="L1644" t="s">
        <v>10</v>
      </c>
      <c r="M1644" s="3">
        <v>70</v>
      </c>
      <c r="N1644" s="2">
        <v>212.01090684722931</v>
      </c>
    </row>
    <row r="1645" spans="9:14" x14ac:dyDescent="0.15">
      <c r="I1645">
        <v>1641</v>
      </c>
      <c r="J1645" t="s">
        <v>7</v>
      </c>
      <c r="K1645" s="1">
        <v>38947</v>
      </c>
      <c r="L1645" t="s">
        <v>9</v>
      </c>
      <c r="M1645" s="3">
        <v>56</v>
      </c>
      <c r="N1645" s="2">
        <v>170.03159669706065</v>
      </c>
    </row>
    <row r="1646" spans="9:14" x14ac:dyDescent="0.15">
      <c r="I1646">
        <v>1642</v>
      </c>
      <c r="J1646" t="s">
        <v>4</v>
      </c>
      <c r="K1646" s="1">
        <v>38859</v>
      </c>
      <c r="L1646" t="s">
        <v>11</v>
      </c>
      <c r="M1646" s="3">
        <v>91</v>
      </c>
      <c r="N1646" s="2">
        <v>275.47209572369957</v>
      </c>
    </row>
    <row r="1647" spans="9:14" x14ac:dyDescent="0.15">
      <c r="I1647">
        <v>1643</v>
      </c>
      <c r="J1647" t="s">
        <v>0</v>
      </c>
      <c r="K1647" s="1">
        <v>38342</v>
      </c>
      <c r="L1647" t="s">
        <v>13</v>
      </c>
      <c r="M1647" s="3">
        <v>55</v>
      </c>
      <c r="N1647" s="2">
        <v>167.80569976811464</v>
      </c>
    </row>
    <row r="1648" spans="9:14" x14ac:dyDescent="0.15">
      <c r="I1648">
        <v>1644</v>
      </c>
      <c r="J1648" t="s">
        <v>1</v>
      </c>
      <c r="K1648" s="1">
        <v>38650</v>
      </c>
      <c r="L1648" t="s">
        <v>12</v>
      </c>
      <c r="M1648" s="3">
        <v>1</v>
      </c>
      <c r="N1648" s="2">
        <v>4.7067653474104088</v>
      </c>
    </row>
    <row r="1649" spans="9:14" x14ac:dyDescent="0.15">
      <c r="I1649">
        <v>1645</v>
      </c>
      <c r="J1649" t="s">
        <v>1</v>
      </c>
      <c r="K1649" s="1">
        <v>38386</v>
      </c>
      <c r="L1649" t="s">
        <v>11</v>
      </c>
      <c r="M1649" s="3">
        <v>23</v>
      </c>
      <c r="N1649" s="2">
        <v>70.736237537390394</v>
      </c>
    </row>
    <row r="1650" spans="9:14" x14ac:dyDescent="0.15">
      <c r="I1650">
        <v>1646</v>
      </c>
      <c r="J1650" t="s">
        <v>3</v>
      </c>
      <c r="K1650" s="1">
        <v>38705</v>
      </c>
      <c r="L1650" t="s">
        <v>10</v>
      </c>
      <c r="M1650" s="3">
        <v>0</v>
      </c>
      <c r="N1650" s="2">
        <v>2.2998593901546056</v>
      </c>
    </row>
    <row r="1651" spans="9:14" x14ac:dyDescent="0.15">
      <c r="I1651">
        <v>1647</v>
      </c>
      <c r="J1651" t="s">
        <v>1</v>
      </c>
      <c r="K1651" s="1">
        <v>38342</v>
      </c>
      <c r="L1651" t="s">
        <v>12</v>
      </c>
      <c r="M1651" s="3">
        <v>86</v>
      </c>
      <c r="N1651" s="2">
        <v>259.96491478210521</v>
      </c>
    </row>
    <row r="1652" spans="9:14" x14ac:dyDescent="0.15">
      <c r="I1652">
        <v>1648</v>
      </c>
      <c r="J1652" t="s">
        <v>2</v>
      </c>
      <c r="K1652" s="1">
        <v>38078</v>
      </c>
      <c r="L1652" t="s">
        <v>11</v>
      </c>
      <c r="M1652" s="3">
        <v>13</v>
      </c>
      <c r="N1652" s="2">
        <v>40.990045684129242</v>
      </c>
    </row>
    <row r="1653" spans="9:14" x14ac:dyDescent="0.15">
      <c r="I1653">
        <v>1649</v>
      </c>
      <c r="J1653" t="s">
        <v>6</v>
      </c>
      <c r="K1653" s="1">
        <v>38826</v>
      </c>
      <c r="L1653" t="s">
        <v>12</v>
      </c>
      <c r="M1653" s="3">
        <v>54</v>
      </c>
      <c r="N1653" s="2">
        <v>163.68855299520598</v>
      </c>
    </row>
    <row r="1654" spans="9:14" x14ac:dyDescent="0.15">
      <c r="I1654">
        <v>1650</v>
      </c>
      <c r="J1654" t="s">
        <v>2</v>
      </c>
      <c r="K1654" s="1">
        <v>38056</v>
      </c>
      <c r="L1654" t="s">
        <v>12</v>
      </c>
      <c r="M1654" s="3">
        <v>82</v>
      </c>
      <c r="N1654" s="2">
        <v>247.65702123487802</v>
      </c>
    </row>
    <row r="1655" spans="9:14" x14ac:dyDescent="0.15">
      <c r="I1655">
        <v>1651</v>
      </c>
      <c r="J1655" t="s">
        <v>5</v>
      </c>
      <c r="K1655" s="1">
        <v>38397</v>
      </c>
      <c r="L1655" t="s">
        <v>9</v>
      </c>
      <c r="M1655" s="3">
        <v>27</v>
      </c>
      <c r="N1655" s="2">
        <v>82.646392449751019</v>
      </c>
    </row>
    <row r="1656" spans="9:14" x14ac:dyDescent="0.15">
      <c r="I1656">
        <v>1652</v>
      </c>
      <c r="J1656" t="s">
        <v>4</v>
      </c>
      <c r="K1656" s="1">
        <v>39002</v>
      </c>
      <c r="L1656" t="s">
        <v>13</v>
      </c>
      <c r="M1656" s="3">
        <v>84</v>
      </c>
      <c r="N1656" s="2">
        <v>254.58342526964253</v>
      </c>
    </row>
    <row r="1657" spans="9:14" x14ac:dyDescent="0.15">
      <c r="I1657">
        <v>1653</v>
      </c>
      <c r="J1657" t="s">
        <v>6</v>
      </c>
      <c r="K1657" s="1">
        <v>38111</v>
      </c>
      <c r="L1657" t="s">
        <v>11</v>
      </c>
      <c r="M1657" s="3">
        <v>56</v>
      </c>
      <c r="N1657" s="2">
        <v>170.24926391624365</v>
      </c>
    </row>
    <row r="1658" spans="9:14" x14ac:dyDescent="0.15">
      <c r="I1658">
        <v>1654</v>
      </c>
      <c r="J1658" t="s">
        <v>8</v>
      </c>
      <c r="K1658" s="1">
        <v>38045</v>
      </c>
      <c r="L1658" t="s">
        <v>13</v>
      </c>
      <c r="M1658" s="3">
        <v>92</v>
      </c>
      <c r="N1658" s="2">
        <v>277.26934431778176</v>
      </c>
    </row>
    <row r="1659" spans="9:14" x14ac:dyDescent="0.15">
      <c r="I1659">
        <v>1655</v>
      </c>
      <c r="J1659" t="s">
        <v>8</v>
      </c>
      <c r="K1659" s="1">
        <v>38001</v>
      </c>
      <c r="L1659" t="s">
        <v>10</v>
      </c>
      <c r="M1659" s="3">
        <v>25</v>
      </c>
      <c r="N1659" s="2">
        <v>77.553918573002605</v>
      </c>
    </row>
    <row r="1660" spans="9:14" x14ac:dyDescent="0.15">
      <c r="I1660">
        <v>1656</v>
      </c>
      <c r="J1660" t="s">
        <v>8</v>
      </c>
      <c r="K1660" s="1">
        <v>38353</v>
      </c>
      <c r="L1660" t="s">
        <v>11</v>
      </c>
      <c r="M1660" s="3">
        <v>67</v>
      </c>
      <c r="N1660" s="2">
        <v>203.0044570204021</v>
      </c>
    </row>
    <row r="1661" spans="9:14" x14ac:dyDescent="0.15">
      <c r="I1661">
        <v>1657</v>
      </c>
      <c r="J1661" t="s">
        <v>7</v>
      </c>
      <c r="K1661" s="1">
        <v>38089</v>
      </c>
      <c r="L1661" t="s">
        <v>13</v>
      </c>
      <c r="M1661" s="3">
        <v>75</v>
      </c>
      <c r="N1661" s="2">
        <v>226.86441343955028</v>
      </c>
    </row>
    <row r="1662" spans="9:14" x14ac:dyDescent="0.15">
      <c r="I1662">
        <v>1658</v>
      </c>
      <c r="J1662" t="s">
        <v>5</v>
      </c>
      <c r="K1662" s="1">
        <v>38617</v>
      </c>
      <c r="L1662" t="s">
        <v>11</v>
      </c>
      <c r="M1662" s="3">
        <v>14</v>
      </c>
      <c r="N1662" s="2">
        <v>44.140520464612329</v>
      </c>
    </row>
    <row r="1663" spans="9:14" x14ac:dyDescent="0.15">
      <c r="I1663">
        <v>1659</v>
      </c>
      <c r="J1663" t="s">
        <v>1</v>
      </c>
      <c r="K1663" s="1">
        <v>38705</v>
      </c>
      <c r="L1663" t="s">
        <v>10</v>
      </c>
      <c r="M1663" s="3">
        <v>48</v>
      </c>
      <c r="N1663" s="2">
        <v>145.81129384316213</v>
      </c>
    </row>
    <row r="1664" spans="9:14" x14ac:dyDescent="0.15">
      <c r="I1664">
        <v>1660</v>
      </c>
      <c r="J1664" t="s">
        <v>2</v>
      </c>
      <c r="K1664" s="1">
        <v>38122</v>
      </c>
      <c r="L1664" t="s">
        <v>9</v>
      </c>
      <c r="M1664" s="3">
        <v>73</v>
      </c>
      <c r="N1664" s="2">
        <v>221.16800423559653</v>
      </c>
    </row>
    <row r="1665" spans="9:14" x14ac:dyDescent="0.15">
      <c r="I1665">
        <v>1661</v>
      </c>
      <c r="J1665" t="s">
        <v>3</v>
      </c>
      <c r="K1665" s="1">
        <v>38507</v>
      </c>
      <c r="L1665" t="s">
        <v>9</v>
      </c>
      <c r="M1665" s="3">
        <v>28</v>
      </c>
      <c r="N1665" s="2">
        <v>85.646088345809403</v>
      </c>
    </row>
    <row r="1666" spans="9:14" x14ac:dyDescent="0.15">
      <c r="I1666">
        <v>1662</v>
      </c>
      <c r="J1666" t="s">
        <v>6</v>
      </c>
      <c r="K1666" s="1">
        <v>38683</v>
      </c>
      <c r="L1666" t="s">
        <v>11</v>
      </c>
      <c r="M1666" s="3">
        <v>12</v>
      </c>
      <c r="N1666" s="2">
        <v>38.543998121108487</v>
      </c>
    </row>
    <row r="1667" spans="9:14" x14ac:dyDescent="0.15">
      <c r="I1667">
        <v>1663</v>
      </c>
      <c r="J1667" t="s">
        <v>7</v>
      </c>
      <c r="K1667" s="1">
        <v>38474</v>
      </c>
      <c r="L1667" t="s">
        <v>10</v>
      </c>
      <c r="M1667" s="3">
        <v>50</v>
      </c>
      <c r="N1667" s="2">
        <v>152.11340525555411</v>
      </c>
    </row>
    <row r="1668" spans="9:14" x14ac:dyDescent="0.15">
      <c r="I1668">
        <v>1664</v>
      </c>
      <c r="J1668" t="s">
        <v>1</v>
      </c>
      <c r="K1668" s="1">
        <v>38991</v>
      </c>
      <c r="L1668" t="s">
        <v>9</v>
      </c>
      <c r="M1668" s="3">
        <v>-5</v>
      </c>
      <c r="N1668" s="2">
        <v>-12.64098802195692</v>
      </c>
    </row>
    <row r="1669" spans="9:14" x14ac:dyDescent="0.15">
      <c r="I1669">
        <v>1665</v>
      </c>
      <c r="J1669" t="s">
        <v>3</v>
      </c>
      <c r="K1669" s="1">
        <v>38375</v>
      </c>
      <c r="L1669" t="s">
        <v>10</v>
      </c>
      <c r="M1669" s="3">
        <v>6</v>
      </c>
      <c r="N1669" s="2">
        <v>19.476233913607583</v>
      </c>
    </row>
    <row r="1670" spans="9:14" x14ac:dyDescent="0.15">
      <c r="I1670">
        <v>1666</v>
      </c>
      <c r="J1670" t="s">
        <v>3</v>
      </c>
      <c r="K1670" s="1">
        <v>38408</v>
      </c>
      <c r="L1670" t="s">
        <v>9</v>
      </c>
      <c r="M1670" s="3">
        <v>63</v>
      </c>
      <c r="N1670" s="2">
        <v>190.56862486239569</v>
      </c>
    </row>
    <row r="1671" spans="9:14" x14ac:dyDescent="0.15">
      <c r="I1671">
        <v>1667</v>
      </c>
      <c r="J1671" t="s">
        <v>5</v>
      </c>
      <c r="K1671" s="1">
        <v>38881</v>
      </c>
      <c r="L1671" t="s">
        <v>9</v>
      </c>
      <c r="M1671" s="3">
        <v>33</v>
      </c>
      <c r="N1671" s="2">
        <v>100.75324427531469</v>
      </c>
    </row>
    <row r="1672" spans="9:14" x14ac:dyDescent="0.15">
      <c r="I1672">
        <v>1668</v>
      </c>
      <c r="J1672" t="s">
        <v>7</v>
      </c>
      <c r="K1672" s="1">
        <v>38254</v>
      </c>
      <c r="L1672" t="s">
        <v>11</v>
      </c>
      <c r="M1672" s="3">
        <v>61</v>
      </c>
      <c r="N1672" s="2">
        <v>185.16541785072013</v>
      </c>
    </row>
    <row r="1673" spans="9:14" x14ac:dyDescent="0.15">
      <c r="I1673">
        <v>1669</v>
      </c>
      <c r="J1673" t="s">
        <v>2</v>
      </c>
      <c r="K1673" s="1">
        <v>38331</v>
      </c>
      <c r="L1673" t="s">
        <v>9</v>
      </c>
      <c r="M1673" s="3">
        <v>16</v>
      </c>
      <c r="N1673" s="2">
        <v>50.709076483884871</v>
      </c>
    </row>
    <row r="1674" spans="9:14" x14ac:dyDescent="0.15">
      <c r="I1674">
        <v>1670</v>
      </c>
      <c r="J1674" t="s">
        <v>0</v>
      </c>
      <c r="K1674" s="1">
        <v>38870</v>
      </c>
      <c r="L1674" t="s">
        <v>11</v>
      </c>
      <c r="M1674" s="3">
        <v>15</v>
      </c>
      <c r="N1674" s="2">
        <v>47.142751278135883</v>
      </c>
    </row>
    <row r="1675" spans="9:14" x14ac:dyDescent="0.15">
      <c r="I1675">
        <v>1671</v>
      </c>
      <c r="J1675" t="s">
        <v>2</v>
      </c>
      <c r="K1675" s="1">
        <v>38925</v>
      </c>
      <c r="L1675" t="s">
        <v>11</v>
      </c>
      <c r="M1675" s="3">
        <v>-1</v>
      </c>
      <c r="N1675" s="2">
        <v>-0.59949529532525503</v>
      </c>
    </row>
    <row r="1676" spans="9:14" x14ac:dyDescent="0.15">
      <c r="I1676">
        <v>1672</v>
      </c>
      <c r="J1676" t="s">
        <v>3</v>
      </c>
      <c r="K1676" s="1">
        <v>38507</v>
      </c>
      <c r="L1676" t="s">
        <v>10</v>
      </c>
      <c r="M1676" s="3">
        <v>28</v>
      </c>
      <c r="N1676" s="2">
        <v>85.359164284772746</v>
      </c>
    </row>
    <row r="1677" spans="9:14" x14ac:dyDescent="0.15">
      <c r="I1677">
        <v>1673</v>
      </c>
      <c r="J1677" t="s">
        <v>0</v>
      </c>
      <c r="K1677" s="1">
        <v>38991</v>
      </c>
      <c r="L1677" t="s">
        <v>9</v>
      </c>
      <c r="M1677" s="3">
        <v>74</v>
      </c>
      <c r="N1677" s="2">
        <v>223.5358944867458</v>
      </c>
    </row>
    <row r="1678" spans="9:14" x14ac:dyDescent="0.15">
      <c r="I1678">
        <v>1674</v>
      </c>
      <c r="J1678" t="s">
        <v>5</v>
      </c>
      <c r="K1678" s="1">
        <v>38089</v>
      </c>
      <c r="L1678" t="s">
        <v>10</v>
      </c>
      <c r="M1678" s="3">
        <v>60</v>
      </c>
      <c r="N1678" s="2">
        <v>182.52957283898829</v>
      </c>
    </row>
    <row r="1679" spans="9:14" x14ac:dyDescent="0.15">
      <c r="I1679">
        <v>1675</v>
      </c>
      <c r="J1679" t="s">
        <v>1</v>
      </c>
      <c r="K1679" s="1">
        <v>38474</v>
      </c>
      <c r="L1679" t="s">
        <v>12</v>
      </c>
      <c r="M1679" s="3">
        <v>26</v>
      </c>
      <c r="N1679" s="2">
        <v>79.644787892751594</v>
      </c>
    </row>
    <row r="1680" spans="9:14" x14ac:dyDescent="0.15">
      <c r="I1680">
        <v>1676</v>
      </c>
      <c r="J1680" t="s">
        <v>3</v>
      </c>
      <c r="K1680" s="1">
        <v>38045</v>
      </c>
      <c r="L1680" t="s">
        <v>9</v>
      </c>
      <c r="M1680" s="3">
        <v>41</v>
      </c>
      <c r="N1680" s="2">
        <v>124.80546413554566</v>
      </c>
    </row>
    <row r="1681" spans="9:14" x14ac:dyDescent="0.15">
      <c r="I1681">
        <v>1677</v>
      </c>
      <c r="J1681" t="s">
        <v>6</v>
      </c>
      <c r="K1681" s="1">
        <v>38122</v>
      </c>
      <c r="L1681" t="s">
        <v>10</v>
      </c>
      <c r="M1681" s="3">
        <v>-1</v>
      </c>
      <c r="N1681" s="2">
        <v>-0.72875697552539753</v>
      </c>
    </row>
    <row r="1682" spans="9:14" x14ac:dyDescent="0.15">
      <c r="I1682">
        <v>1678</v>
      </c>
      <c r="J1682" t="s">
        <v>6</v>
      </c>
      <c r="K1682" s="1">
        <v>38903</v>
      </c>
      <c r="L1682" t="s">
        <v>10</v>
      </c>
      <c r="M1682" s="3">
        <v>89</v>
      </c>
      <c r="N1682" s="2">
        <v>268.71620455118574</v>
      </c>
    </row>
    <row r="1683" spans="9:14" x14ac:dyDescent="0.15">
      <c r="I1683">
        <v>1679</v>
      </c>
      <c r="J1683" t="s">
        <v>3</v>
      </c>
      <c r="K1683" s="1">
        <v>38144</v>
      </c>
      <c r="L1683" t="s">
        <v>12</v>
      </c>
      <c r="M1683" s="3">
        <v>12</v>
      </c>
      <c r="N1683" s="2">
        <v>38.034373617715126</v>
      </c>
    </row>
    <row r="1684" spans="9:14" x14ac:dyDescent="0.15">
      <c r="I1684">
        <v>1680</v>
      </c>
      <c r="J1684" t="s">
        <v>1</v>
      </c>
      <c r="K1684" s="1">
        <v>38276</v>
      </c>
      <c r="L1684" t="s">
        <v>11</v>
      </c>
      <c r="M1684" s="3">
        <v>21</v>
      </c>
      <c r="N1684" s="2">
        <v>65.91159641394708</v>
      </c>
    </row>
    <row r="1685" spans="9:14" x14ac:dyDescent="0.15">
      <c r="I1685">
        <v>1681</v>
      </c>
      <c r="J1685" t="s">
        <v>0</v>
      </c>
      <c r="K1685" s="1">
        <v>38892</v>
      </c>
      <c r="L1685" t="s">
        <v>12</v>
      </c>
      <c r="M1685" s="3">
        <v>23</v>
      </c>
      <c r="N1685" s="2">
        <v>71.518171146886857</v>
      </c>
    </row>
    <row r="1686" spans="9:14" x14ac:dyDescent="0.15">
      <c r="I1686">
        <v>1682</v>
      </c>
      <c r="J1686" t="s">
        <v>7</v>
      </c>
      <c r="K1686" s="1">
        <v>38441</v>
      </c>
      <c r="L1686" t="s">
        <v>9</v>
      </c>
      <c r="M1686" s="3">
        <v>-7</v>
      </c>
      <c r="N1686" s="2">
        <v>-18.640973323270995</v>
      </c>
    </row>
    <row r="1687" spans="9:14" x14ac:dyDescent="0.15">
      <c r="I1687">
        <v>1683</v>
      </c>
      <c r="J1687" t="s">
        <v>8</v>
      </c>
      <c r="K1687" s="1">
        <v>38056</v>
      </c>
      <c r="L1687" t="s">
        <v>9</v>
      </c>
      <c r="M1687" s="3">
        <v>35</v>
      </c>
      <c r="N1687" s="2">
        <v>106.65095335657088</v>
      </c>
    </row>
    <row r="1688" spans="9:14" x14ac:dyDescent="0.15">
      <c r="I1688">
        <v>1684</v>
      </c>
      <c r="J1688" t="s">
        <v>6</v>
      </c>
      <c r="K1688" s="1">
        <v>38243</v>
      </c>
      <c r="L1688" t="s">
        <v>12</v>
      </c>
      <c r="M1688" s="3">
        <v>94</v>
      </c>
      <c r="N1688" s="2">
        <v>283.7951382741839</v>
      </c>
    </row>
    <row r="1689" spans="9:14" x14ac:dyDescent="0.15">
      <c r="I1689">
        <v>1685</v>
      </c>
      <c r="J1689" t="s">
        <v>6</v>
      </c>
      <c r="K1689" s="1">
        <v>38661</v>
      </c>
      <c r="L1689" t="s">
        <v>11</v>
      </c>
      <c r="M1689" s="3">
        <v>88</v>
      </c>
      <c r="N1689" s="2">
        <v>265.96151267807471</v>
      </c>
    </row>
    <row r="1690" spans="9:14" x14ac:dyDescent="0.15">
      <c r="I1690">
        <v>1686</v>
      </c>
      <c r="J1690" t="s">
        <v>6</v>
      </c>
      <c r="K1690" s="1">
        <v>38056</v>
      </c>
      <c r="L1690" t="s">
        <v>13</v>
      </c>
      <c r="M1690" s="3">
        <v>26</v>
      </c>
      <c r="N1690" s="2">
        <v>79.798393656893168</v>
      </c>
    </row>
    <row r="1691" spans="9:14" x14ac:dyDescent="0.15">
      <c r="I1691">
        <v>1687</v>
      </c>
      <c r="J1691" t="s">
        <v>7</v>
      </c>
      <c r="K1691" s="1">
        <v>38177</v>
      </c>
      <c r="L1691" t="s">
        <v>9</v>
      </c>
      <c r="M1691" s="3">
        <v>83</v>
      </c>
      <c r="N1691" s="2">
        <v>250.98698082020448</v>
      </c>
    </row>
    <row r="1692" spans="9:14" x14ac:dyDescent="0.15">
      <c r="I1692">
        <v>1688</v>
      </c>
      <c r="J1692" t="s">
        <v>5</v>
      </c>
      <c r="K1692" s="1">
        <v>38870</v>
      </c>
      <c r="L1692" t="s">
        <v>12</v>
      </c>
      <c r="M1692" s="3">
        <v>11</v>
      </c>
      <c r="N1692" s="2">
        <v>34.677474217404566</v>
      </c>
    </row>
    <row r="1693" spans="9:14" x14ac:dyDescent="0.15">
      <c r="I1693">
        <v>1689</v>
      </c>
      <c r="J1693" t="s">
        <v>2</v>
      </c>
      <c r="K1693" s="1">
        <v>38980</v>
      </c>
      <c r="L1693" t="s">
        <v>9</v>
      </c>
      <c r="M1693" s="3">
        <v>18</v>
      </c>
      <c r="N1693" s="2">
        <v>56.570167419014545</v>
      </c>
    </row>
    <row r="1694" spans="9:14" x14ac:dyDescent="0.15">
      <c r="I1694">
        <v>1690</v>
      </c>
      <c r="J1694" t="s">
        <v>4</v>
      </c>
      <c r="K1694" s="1">
        <v>38430</v>
      </c>
      <c r="L1694" t="s">
        <v>11</v>
      </c>
      <c r="M1694" s="3">
        <v>90</v>
      </c>
      <c r="N1694" s="2">
        <v>272.35988641044867</v>
      </c>
    </row>
    <row r="1695" spans="9:14" x14ac:dyDescent="0.15">
      <c r="I1695">
        <v>1691</v>
      </c>
      <c r="J1695" t="s">
        <v>2</v>
      </c>
      <c r="K1695" s="1">
        <v>38628</v>
      </c>
      <c r="L1695" t="s">
        <v>12</v>
      </c>
      <c r="M1695" s="3">
        <v>12</v>
      </c>
      <c r="N1695" s="2">
        <v>38.358567090515102</v>
      </c>
    </row>
    <row r="1696" spans="9:14" x14ac:dyDescent="0.15">
      <c r="I1696">
        <v>1692</v>
      </c>
      <c r="J1696" t="s">
        <v>2</v>
      </c>
      <c r="K1696" s="1">
        <v>38012</v>
      </c>
      <c r="L1696" t="s">
        <v>10</v>
      </c>
      <c r="M1696" s="3">
        <v>39</v>
      </c>
      <c r="N1696" s="2">
        <v>118.63508946594906</v>
      </c>
    </row>
    <row r="1697" spans="9:14" x14ac:dyDescent="0.15">
      <c r="I1697">
        <v>1693</v>
      </c>
      <c r="J1697" t="s">
        <v>2</v>
      </c>
      <c r="K1697" s="1">
        <v>38034</v>
      </c>
      <c r="L1697" t="s">
        <v>13</v>
      </c>
      <c r="M1697" s="3">
        <v>45</v>
      </c>
      <c r="N1697" s="2">
        <v>137.71025367694813</v>
      </c>
    </row>
    <row r="1698" spans="9:14" x14ac:dyDescent="0.15">
      <c r="I1698">
        <v>1694</v>
      </c>
      <c r="J1698" t="s">
        <v>4</v>
      </c>
      <c r="K1698" s="1">
        <v>39057</v>
      </c>
      <c r="L1698" t="s">
        <v>9</v>
      </c>
      <c r="M1698" s="3">
        <v>74</v>
      </c>
      <c r="N1698" s="2">
        <v>223.24261767904073</v>
      </c>
    </row>
    <row r="1699" spans="9:14" x14ac:dyDescent="0.15">
      <c r="I1699">
        <v>1695</v>
      </c>
      <c r="J1699" t="s">
        <v>2</v>
      </c>
      <c r="K1699" s="1">
        <v>38551</v>
      </c>
      <c r="L1699" t="s">
        <v>9</v>
      </c>
      <c r="M1699" s="3">
        <v>95</v>
      </c>
      <c r="N1699" s="2">
        <v>286.97940760158696</v>
      </c>
    </row>
    <row r="1700" spans="9:14" x14ac:dyDescent="0.15">
      <c r="I1700">
        <v>1696</v>
      </c>
      <c r="J1700" t="s">
        <v>3</v>
      </c>
      <c r="K1700" s="1">
        <v>38144</v>
      </c>
      <c r="L1700" t="s">
        <v>10</v>
      </c>
      <c r="M1700" s="3">
        <v>48</v>
      </c>
      <c r="N1700" s="2">
        <v>145.47941837398358</v>
      </c>
    </row>
    <row r="1701" spans="9:14" x14ac:dyDescent="0.15">
      <c r="I1701">
        <v>1697</v>
      </c>
      <c r="J1701" t="s">
        <v>8</v>
      </c>
      <c r="K1701" s="1">
        <v>38276</v>
      </c>
      <c r="L1701" t="s">
        <v>12</v>
      </c>
      <c r="M1701" s="3">
        <v>-3</v>
      </c>
      <c r="N1701" s="2">
        <v>-7.0556984383694044</v>
      </c>
    </row>
    <row r="1702" spans="9:14" x14ac:dyDescent="0.15">
      <c r="I1702">
        <v>1698</v>
      </c>
      <c r="J1702" t="s">
        <v>1</v>
      </c>
      <c r="K1702" s="1">
        <v>38496</v>
      </c>
      <c r="L1702" t="s">
        <v>13</v>
      </c>
      <c r="M1702" s="3">
        <v>92</v>
      </c>
      <c r="N1702" s="2">
        <v>278.51510126549795</v>
      </c>
    </row>
    <row r="1703" spans="9:14" x14ac:dyDescent="0.15">
      <c r="I1703">
        <v>1699</v>
      </c>
      <c r="J1703" t="s">
        <v>4</v>
      </c>
      <c r="K1703" s="1">
        <v>38419</v>
      </c>
      <c r="L1703" t="s">
        <v>12</v>
      </c>
      <c r="M1703" s="3">
        <v>17</v>
      </c>
      <c r="N1703" s="2">
        <v>53.278847558385984</v>
      </c>
    </row>
    <row r="1704" spans="9:14" x14ac:dyDescent="0.15">
      <c r="I1704">
        <v>1700</v>
      </c>
      <c r="J1704" t="s">
        <v>3</v>
      </c>
      <c r="K1704" s="1">
        <v>38287</v>
      </c>
      <c r="L1704" t="s">
        <v>10</v>
      </c>
      <c r="M1704" s="3">
        <v>45</v>
      </c>
      <c r="N1704" s="2">
        <v>136.31233370896607</v>
      </c>
    </row>
    <row r="1705" spans="9:14" x14ac:dyDescent="0.15">
      <c r="I1705">
        <v>1701</v>
      </c>
      <c r="J1705" t="s">
        <v>1</v>
      </c>
      <c r="K1705" s="1">
        <v>39002</v>
      </c>
      <c r="L1705" t="s">
        <v>13</v>
      </c>
      <c r="M1705" s="3">
        <v>62</v>
      </c>
      <c r="N1705" s="2">
        <v>187.97208926447612</v>
      </c>
    </row>
    <row r="1706" spans="9:14" x14ac:dyDescent="0.15">
      <c r="I1706">
        <v>1702</v>
      </c>
      <c r="J1706" t="s">
        <v>4</v>
      </c>
      <c r="K1706" s="1">
        <v>38287</v>
      </c>
      <c r="L1706" t="s">
        <v>9</v>
      </c>
      <c r="M1706" s="3">
        <v>52</v>
      </c>
      <c r="N1706" s="2">
        <v>158.0460445332865</v>
      </c>
    </row>
    <row r="1707" spans="9:14" x14ac:dyDescent="0.15">
      <c r="I1707">
        <v>1703</v>
      </c>
      <c r="J1707" t="s">
        <v>3</v>
      </c>
      <c r="K1707" s="1">
        <v>38133</v>
      </c>
      <c r="L1707" t="s">
        <v>13</v>
      </c>
      <c r="M1707" s="3">
        <v>73</v>
      </c>
      <c r="N1707" s="2">
        <v>221.23952830258372</v>
      </c>
    </row>
    <row r="1708" spans="9:14" x14ac:dyDescent="0.15">
      <c r="I1708">
        <v>1704</v>
      </c>
      <c r="J1708" t="s">
        <v>7</v>
      </c>
      <c r="K1708" s="1">
        <v>38551</v>
      </c>
      <c r="L1708" t="s">
        <v>13</v>
      </c>
      <c r="M1708" s="3">
        <v>38</v>
      </c>
      <c r="N1708" s="2">
        <v>116.53981147745662</v>
      </c>
    </row>
    <row r="1709" spans="9:14" x14ac:dyDescent="0.15">
      <c r="I1709">
        <v>1705</v>
      </c>
      <c r="J1709" t="s">
        <v>3</v>
      </c>
      <c r="K1709" s="1">
        <v>38705</v>
      </c>
      <c r="L1709" t="s">
        <v>11</v>
      </c>
      <c r="M1709" s="3">
        <v>0</v>
      </c>
      <c r="N1709" s="2">
        <v>1.7059716699737852</v>
      </c>
    </row>
    <row r="1710" spans="9:14" x14ac:dyDescent="0.15">
      <c r="I1710">
        <v>1706</v>
      </c>
      <c r="J1710" t="s">
        <v>0</v>
      </c>
      <c r="K1710" s="1">
        <v>38276</v>
      </c>
      <c r="L1710" t="s">
        <v>11</v>
      </c>
      <c r="M1710" s="3">
        <v>70</v>
      </c>
      <c r="N1710" s="2">
        <v>211.80942925062229</v>
      </c>
    </row>
    <row r="1711" spans="9:14" x14ac:dyDescent="0.15">
      <c r="I1711">
        <v>1707</v>
      </c>
      <c r="J1711" t="s">
        <v>7</v>
      </c>
      <c r="K1711" s="1">
        <v>38485</v>
      </c>
      <c r="L1711" t="s">
        <v>9</v>
      </c>
      <c r="M1711" s="3">
        <v>-8</v>
      </c>
      <c r="N1711" s="2">
        <v>-22.16452981425434</v>
      </c>
    </row>
    <row r="1712" spans="9:14" x14ac:dyDescent="0.15">
      <c r="I1712">
        <v>1708</v>
      </c>
      <c r="J1712" t="s">
        <v>7</v>
      </c>
      <c r="K1712" s="1">
        <v>38837</v>
      </c>
      <c r="L1712" t="s">
        <v>11</v>
      </c>
      <c r="M1712" s="3">
        <v>65</v>
      </c>
      <c r="N1712" s="2">
        <v>196.94966457435572</v>
      </c>
    </row>
    <row r="1713" spans="9:14" x14ac:dyDescent="0.15">
      <c r="I1713">
        <v>1709</v>
      </c>
      <c r="J1713" t="s">
        <v>7</v>
      </c>
      <c r="K1713" s="1">
        <v>39046</v>
      </c>
      <c r="L1713" t="s">
        <v>10</v>
      </c>
      <c r="M1713" s="3">
        <v>-5</v>
      </c>
      <c r="N1713" s="2">
        <v>-12.235172213399022</v>
      </c>
    </row>
    <row r="1714" spans="9:14" x14ac:dyDescent="0.15">
      <c r="I1714">
        <v>1710</v>
      </c>
      <c r="J1714" t="s">
        <v>7</v>
      </c>
      <c r="K1714" s="1">
        <v>38562</v>
      </c>
      <c r="L1714" t="s">
        <v>9</v>
      </c>
      <c r="M1714" s="3">
        <v>34</v>
      </c>
      <c r="N1714" s="2">
        <v>104.46148815266854</v>
      </c>
    </row>
    <row r="1715" spans="9:14" x14ac:dyDescent="0.15">
      <c r="I1715">
        <v>1711</v>
      </c>
      <c r="J1715" t="s">
        <v>2</v>
      </c>
      <c r="K1715" s="1">
        <v>38804</v>
      </c>
      <c r="L1715" t="s">
        <v>10</v>
      </c>
      <c r="M1715" s="3">
        <v>72</v>
      </c>
      <c r="N1715" s="2">
        <v>217.88587173222501</v>
      </c>
    </row>
    <row r="1716" spans="9:14" x14ac:dyDescent="0.15">
      <c r="I1716">
        <v>1712</v>
      </c>
      <c r="J1716" t="s">
        <v>0</v>
      </c>
      <c r="K1716" s="1">
        <v>38386</v>
      </c>
      <c r="L1716" t="s">
        <v>11</v>
      </c>
      <c r="M1716" s="3">
        <v>-1</v>
      </c>
      <c r="N1716" s="2">
        <v>-0.65444775995364735</v>
      </c>
    </row>
    <row r="1717" spans="9:14" x14ac:dyDescent="0.15">
      <c r="I1717">
        <v>1713</v>
      </c>
      <c r="J1717" t="s">
        <v>5</v>
      </c>
      <c r="K1717" s="1">
        <v>38694</v>
      </c>
      <c r="L1717" t="s">
        <v>10</v>
      </c>
      <c r="M1717" s="3">
        <v>40</v>
      </c>
      <c r="N1717" s="2">
        <v>122.14268476291653</v>
      </c>
    </row>
    <row r="1718" spans="9:14" x14ac:dyDescent="0.15">
      <c r="I1718">
        <v>1714</v>
      </c>
      <c r="J1718" t="s">
        <v>3</v>
      </c>
      <c r="K1718" s="1">
        <v>38969</v>
      </c>
      <c r="L1718" t="s">
        <v>12</v>
      </c>
      <c r="M1718" s="3">
        <v>65</v>
      </c>
      <c r="N1718" s="2">
        <v>196.70486780051661</v>
      </c>
    </row>
    <row r="1719" spans="9:14" x14ac:dyDescent="0.15">
      <c r="I1719">
        <v>1715</v>
      </c>
      <c r="J1719" t="s">
        <v>7</v>
      </c>
      <c r="K1719" s="1">
        <v>38903</v>
      </c>
      <c r="L1719" t="s">
        <v>10</v>
      </c>
      <c r="M1719" s="3">
        <v>77</v>
      </c>
      <c r="N1719" s="2">
        <v>232.41740522130286</v>
      </c>
    </row>
    <row r="1720" spans="9:14" x14ac:dyDescent="0.15">
      <c r="I1720">
        <v>1716</v>
      </c>
      <c r="J1720" t="s">
        <v>0</v>
      </c>
      <c r="K1720" s="1">
        <v>38826</v>
      </c>
      <c r="L1720" t="s">
        <v>12</v>
      </c>
      <c r="M1720" s="3">
        <v>51</v>
      </c>
      <c r="N1720" s="2">
        <v>155.00139731564644</v>
      </c>
    </row>
    <row r="1721" spans="9:14" x14ac:dyDescent="0.15">
      <c r="I1721">
        <v>1717</v>
      </c>
      <c r="J1721" t="s">
        <v>4</v>
      </c>
      <c r="K1721" s="1">
        <v>38452</v>
      </c>
      <c r="L1721" t="s">
        <v>9</v>
      </c>
      <c r="M1721" s="3">
        <v>-9</v>
      </c>
      <c r="N1721" s="2">
        <v>-25.103275559538364</v>
      </c>
    </row>
    <row r="1722" spans="9:14" x14ac:dyDescent="0.15">
      <c r="I1722">
        <v>1718</v>
      </c>
      <c r="J1722" t="s">
        <v>0</v>
      </c>
      <c r="K1722" s="1">
        <v>38441</v>
      </c>
      <c r="L1722" t="s">
        <v>12</v>
      </c>
      <c r="M1722" s="3">
        <v>17</v>
      </c>
      <c r="N1722" s="2">
        <v>52.732870933394423</v>
      </c>
    </row>
    <row r="1723" spans="9:14" x14ac:dyDescent="0.15">
      <c r="I1723">
        <v>1719</v>
      </c>
      <c r="J1723" t="s">
        <v>6</v>
      </c>
      <c r="K1723" s="1">
        <v>38452</v>
      </c>
      <c r="L1723" t="s">
        <v>11</v>
      </c>
      <c r="M1723" s="3">
        <v>11</v>
      </c>
      <c r="N1723" s="2">
        <v>34.806777506140598</v>
      </c>
    </row>
    <row r="1724" spans="9:14" x14ac:dyDescent="0.15">
      <c r="I1724">
        <v>1720</v>
      </c>
      <c r="J1724" t="s">
        <v>5</v>
      </c>
      <c r="K1724" s="1">
        <v>38892</v>
      </c>
      <c r="L1724" t="s">
        <v>10</v>
      </c>
      <c r="M1724" s="3">
        <v>40</v>
      </c>
      <c r="N1724" s="2">
        <v>121.64869809891456</v>
      </c>
    </row>
    <row r="1725" spans="9:14" x14ac:dyDescent="0.15">
      <c r="I1725">
        <v>1721</v>
      </c>
      <c r="J1725" t="s">
        <v>6</v>
      </c>
      <c r="K1725" s="1">
        <v>38584</v>
      </c>
      <c r="L1725" t="s">
        <v>9</v>
      </c>
      <c r="M1725" s="3">
        <v>67</v>
      </c>
      <c r="N1725" s="2">
        <v>202.72483169959665</v>
      </c>
    </row>
    <row r="1726" spans="9:14" x14ac:dyDescent="0.15">
      <c r="I1726">
        <v>1722</v>
      </c>
      <c r="J1726" t="s">
        <v>7</v>
      </c>
      <c r="K1726" s="1">
        <v>38562</v>
      </c>
      <c r="L1726" t="s">
        <v>13</v>
      </c>
      <c r="M1726" s="3">
        <v>79</v>
      </c>
      <c r="N1726" s="2">
        <v>239.25066766148794</v>
      </c>
    </row>
    <row r="1727" spans="9:14" x14ac:dyDescent="0.15">
      <c r="I1727">
        <v>1723</v>
      </c>
      <c r="J1727" t="s">
        <v>4</v>
      </c>
      <c r="K1727" s="1">
        <v>38122</v>
      </c>
      <c r="L1727" t="s">
        <v>9</v>
      </c>
      <c r="M1727" s="3">
        <v>-7</v>
      </c>
      <c r="N1727" s="2">
        <v>-19.159862376296054</v>
      </c>
    </row>
    <row r="1728" spans="9:14" x14ac:dyDescent="0.15">
      <c r="I1728">
        <v>1724</v>
      </c>
      <c r="J1728" t="s">
        <v>4</v>
      </c>
      <c r="K1728" s="1">
        <v>38496</v>
      </c>
      <c r="L1728" t="s">
        <v>12</v>
      </c>
      <c r="M1728" s="3">
        <v>72</v>
      </c>
      <c r="N1728" s="2">
        <v>218.05969697818949</v>
      </c>
    </row>
    <row r="1729" spans="9:14" x14ac:dyDescent="0.15">
      <c r="I1729">
        <v>1725</v>
      </c>
      <c r="J1729" t="s">
        <v>2</v>
      </c>
      <c r="K1729" s="1">
        <v>38562</v>
      </c>
      <c r="L1729" t="s">
        <v>11</v>
      </c>
      <c r="M1729" s="3">
        <v>53</v>
      </c>
      <c r="N1729" s="2">
        <v>160.76900841046421</v>
      </c>
    </row>
    <row r="1730" spans="9:14" x14ac:dyDescent="0.15">
      <c r="I1730">
        <v>1726</v>
      </c>
      <c r="J1730" t="s">
        <v>5</v>
      </c>
      <c r="K1730" s="1">
        <v>38903</v>
      </c>
      <c r="L1730" t="s">
        <v>11</v>
      </c>
      <c r="M1730" s="3">
        <v>35</v>
      </c>
      <c r="N1730" s="2">
        <v>107.40939275823844</v>
      </c>
    </row>
    <row r="1731" spans="9:14" x14ac:dyDescent="0.15">
      <c r="I1731">
        <v>1727</v>
      </c>
      <c r="J1731" t="s">
        <v>6</v>
      </c>
      <c r="K1731" s="1">
        <v>39024</v>
      </c>
      <c r="L1731" t="s">
        <v>10</v>
      </c>
      <c r="M1731" s="3">
        <v>39</v>
      </c>
      <c r="N1731" s="2">
        <v>118.67053890819109</v>
      </c>
    </row>
    <row r="1732" spans="9:14" x14ac:dyDescent="0.15">
      <c r="I1732">
        <v>1728</v>
      </c>
      <c r="J1732" t="s">
        <v>2</v>
      </c>
      <c r="K1732" s="1">
        <v>38177</v>
      </c>
      <c r="L1732" t="s">
        <v>12</v>
      </c>
      <c r="M1732" s="3">
        <v>-7</v>
      </c>
      <c r="N1732" s="2">
        <v>-19.354078968263273</v>
      </c>
    </row>
    <row r="1733" spans="9:14" x14ac:dyDescent="0.15">
      <c r="I1733">
        <v>1729</v>
      </c>
      <c r="J1733" t="s">
        <v>1</v>
      </c>
      <c r="K1733" s="1">
        <v>38155</v>
      </c>
      <c r="L1733" t="s">
        <v>11</v>
      </c>
      <c r="M1733" s="3">
        <v>68</v>
      </c>
      <c r="N1733" s="2">
        <v>206.3442384317722</v>
      </c>
    </row>
    <row r="1734" spans="9:14" x14ac:dyDescent="0.15">
      <c r="I1734">
        <v>1730</v>
      </c>
      <c r="J1734" t="s">
        <v>5</v>
      </c>
      <c r="K1734" s="1">
        <v>38287</v>
      </c>
      <c r="L1734" t="s">
        <v>11</v>
      </c>
      <c r="M1734" s="3">
        <v>86</v>
      </c>
      <c r="N1734" s="2">
        <v>260.29001268034375</v>
      </c>
    </row>
    <row r="1735" spans="9:14" x14ac:dyDescent="0.15">
      <c r="I1735">
        <v>1731</v>
      </c>
      <c r="J1735" t="s">
        <v>8</v>
      </c>
      <c r="K1735" s="1">
        <v>38595</v>
      </c>
      <c r="L1735" t="s">
        <v>13</v>
      </c>
      <c r="M1735" s="3">
        <v>84</v>
      </c>
      <c r="N1735" s="2">
        <v>254.77631099529688</v>
      </c>
    </row>
    <row r="1736" spans="9:14" x14ac:dyDescent="0.15">
      <c r="I1736">
        <v>1732</v>
      </c>
      <c r="J1736" t="s">
        <v>1</v>
      </c>
      <c r="K1736" s="1">
        <v>39046</v>
      </c>
      <c r="L1736" t="s">
        <v>12</v>
      </c>
      <c r="M1736" s="3">
        <v>6</v>
      </c>
      <c r="N1736" s="2">
        <v>19.965040351983745</v>
      </c>
    </row>
    <row r="1737" spans="9:14" x14ac:dyDescent="0.15">
      <c r="I1737">
        <v>1733</v>
      </c>
      <c r="J1737" t="s">
        <v>8</v>
      </c>
      <c r="K1737" s="1">
        <v>38727</v>
      </c>
      <c r="L1737" t="s">
        <v>13</v>
      </c>
      <c r="M1737" s="3">
        <v>-5</v>
      </c>
      <c r="N1737" s="2">
        <v>-12.772394146444128</v>
      </c>
    </row>
    <row r="1738" spans="9:14" x14ac:dyDescent="0.15">
      <c r="I1738">
        <v>1734</v>
      </c>
      <c r="J1738" t="s">
        <v>1</v>
      </c>
      <c r="K1738" s="1">
        <v>38815</v>
      </c>
      <c r="L1738" t="s">
        <v>10</v>
      </c>
      <c r="M1738" s="3">
        <v>22</v>
      </c>
      <c r="N1738" s="2">
        <v>67.936736058497871</v>
      </c>
    </row>
    <row r="1739" spans="9:14" x14ac:dyDescent="0.15">
      <c r="I1739">
        <v>1735</v>
      </c>
      <c r="J1739" t="s">
        <v>8</v>
      </c>
      <c r="K1739" s="1">
        <v>38694</v>
      </c>
      <c r="L1739" t="s">
        <v>11</v>
      </c>
      <c r="M1739" s="3">
        <v>29</v>
      </c>
      <c r="N1739" s="2">
        <v>89.114636106343568</v>
      </c>
    </row>
    <row r="1740" spans="9:14" x14ac:dyDescent="0.15">
      <c r="I1740">
        <v>1736</v>
      </c>
      <c r="J1740" t="s">
        <v>7</v>
      </c>
      <c r="K1740" s="1">
        <v>38298</v>
      </c>
      <c r="L1740" t="s">
        <v>10</v>
      </c>
      <c r="M1740" s="3">
        <v>3</v>
      </c>
      <c r="N1740" s="2">
        <v>10.889833668586128</v>
      </c>
    </row>
    <row r="1741" spans="9:14" x14ac:dyDescent="0.15">
      <c r="I1741">
        <v>1737</v>
      </c>
      <c r="J1741" t="s">
        <v>6</v>
      </c>
      <c r="K1741" s="1">
        <v>38804</v>
      </c>
      <c r="L1741" t="s">
        <v>11</v>
      </c>
      <c r="M1741" s="3">
        <v>88</v>
      </c>
      <c r="N1741" s="2">
        <v>265.52523967441095</v>
      </c>
    </row>
    <row r="1742" spans="9:14" x14ac:dyDescent="0.15">
      <c r="I1742">
        <v>1738</v>
      </c>
      <c r="J1742" t="s">
        <v>5</v>
      </c>
      <c r="K1742" s="1">
        <v>38408</v>
      </c>
      <c r="L1742" t="s">
        <v>11</v>
      </c>
      <c r="M1742" s="3">
        <v>41</v>
      </c>
      <c r="N1742" s="2">
        <v>124.98924123949018</v>
      </c>
    </row>
    <row r="1743" spans="9:14" x14ac:dyDescent="0.15">
      <c r="I1743">
        <v>1739</v>
      </c>
      <c r="J1743" t="s">
        <v>0</v>
      </c>
      <c r="K1743" s="1">
        <v>38397</v>
      </c>
      <c r="L1743" t="s">
        <v>9</v>
      </c>
      <c r="M1743" s="3">
        <v>59</v>
      </c>
      <c r="N1743" s="2">
        <v>178.83628019769552</v>
      </c>
    </row>
    <row r="1744" spans="9:14" x14ac:dyDescent="0.15">
      <c r="I1744">
        <v>1740</v>
      </c>
      <c r="J1744" t="s">
        <v>0</v>
      </c>
      <c r="K1744" s="1">
        <v>38265</v>
      </c>
      <c r="L1744" t="s">
        <v>12</v>
      </c>
      <c r="M1744" s="3">
        <v>29</v>
      </c>
      <c r="N1744" s="2">
        <v>89.261658607480399</v>
      </c>
    </row>
    <row r="1745" spans="9:14" x14ac:dyDescent="0.15">
      <c r="I1745">
        <v>1741</v>
      </c>
      <c r="J1745" t="s">
        <v>6</v>
      </c>
      <c r="K1745" s="1">
        <v>38034</v>
      </c>
      <c r="L1745" t="s">
        <v>12</v>
      </c>
      <c r="M1745" s="3">
        <v>43</v>
      </c>
      <c r="N1745" s="2">
        <v>130.29965520792396</v>
      </c>
    </row>
    <row r="1746" spans="9:14" x14ac:dyDescent="0.15">
      <c r="I1746">
        <v>1742</v>
      </c>
      <c r="J1746" t="s">
        <v>7</v>
      </c>
      <c r="K1746" s="1">
        <v>38826</v>
      </c>
      <c r="L1746" t="s">
        <v>10</v>
      </c>
      <c r="M1746" s="3">
        <v>75</v>
      </c>
      <c r="N1746" s="2">
        <v>227.51732588951381</v>
      </c>
    </row>
    <row r="1747" spans="9:14" x14ac:dyDescent="0.15">
      <c r="I1747">
        <v>1743</v>
      </c>
      <c r="J1747" t="s">
        <v>8</v>
      </c>
      <c r="K1747" s="1">
        <v>38221</v>
      </c>
      <c r="L1747" t="s">
        <v>12</v>
      </c>
      <c r="M1747" s="3">
        <v>40</v>
      </c>
      <c r="N1747" s="2">
        <v>121.70811716084982</v>
      </c>
    </row>
    <row r="1748" spans="9:14" x14ac:dyDescent="0.15">
      <c r="I1748">
        <v>1744</v>
      </c>
      <c r="J1748" t="s">
        <v>7</v>
      </c>
      <c r="K1748" s="1">
        <v>38309</v>
      </c>
      <c r="L1748" t="s">
        <v>12</v>
      </c>
      <c r="M1748" s="3">
        <v>78</v>
      </c>
      <c r="N1748" s="2">
        <v>235.886562763272</v>
      </c>
    </row>
    <row r="1749" spans="9:14" x14ac:dyDescent="0.15">
      <c r="I1749">
        <v>1745</v>
      </c>
      <c r="J1749" t="s">
        <v>4</v>
      </c>
      <c r="K1749" s="1">
        <v>38430</v>
      </c>
      <c r="L1749" t="s">
        <v>11</v>
      </c>
      <c r="M1749" s="3">
        <v>38</v>
      </c>
      <c r="N1749" s="2">
        <v>115.79763515244602</v>
      </c>
    </row>
    <row r="1750" spans="9:14" x14ac:dyDescent="0.15">
      <c r="I1750">
        <v>1746</v>
      </c>
      <c r="J1750" t="s">
        <v>5</v>
      </c>
      <c r="K1750" s="1">
        <v>38507</v>
      </c>
      <c r="L1750" t="s">
        <v>12</v>
      </c>
      <c r="M1750" s="3">
        <v>-3</v>
      </c>
      <c r="N1750" s="2">
        <v>-6.3542907791353951</v>
      </c>
    </row>
    <row r="1751" spans="9:14" x14ac:dyDescent="0.15">
      <c r="I1751">
        <v>1747</v>
      </c>
      <c r="J1751" t="s">
        <v>3</v>
      </c>
      <c r="K1751" s="1">
        <v>38100</v>
      </c>
      <c r="L1751" t="s">
        <v>9</v>
      </c>
      <c r="M1751" s="3">
        <v>34</v>
      </c>
      <c r="N1751" s="2">
        <v>103.8978672415664</v>
      </c>
    </row>
    <row r="1752" spans="9:14" x14ac:dyDescent="0.15">
      <c r="I1752">
        <v>1748</v>
      </c>
      <c r="J1752" t="s">
        <v>6</v>
      </c>
      <c r="K1752" s="1">
        <v>38111</v>
      </c>
      <c r="L1752" t="s">
        <v>11</v>
      </c>
      <c r="M1752" s="3">
        <v>85</v>
      </c>
      <c r="N1752" s="2">
        <v>256.4457111777549</v>
      </c>
    </row>
    <row r="1753" spans="9:14" x14ac:dyDescent="0.15">
      <c r="I1753">
        <v>1749</v>
      </c>
      <c r="J1753" t="s">
        <v>1</v>
      </c>
      <c r="K1753" s="1">
        <v>38672</v>
      </c>
      <c r="L1753" t="s">
        <v>9</v>
      </c>
      <c r="M1753" s="3">
        <v>70</v>
      </c>
      <c r="N1753" s="2">
        <v>212.02897469121848</v>
      </c>
    </row>
    <row r="1754" spans="9:14" x14ac:dyDescent="0.15">
      <c r="I1754">
        <v>1750</v>
      </c>
      <c r="J1754" t="s">
        <v>5</v>
      </c>
      <c r="K1754" s="1">
        <v>39024</v>
      </c>
      <c r="L1754" t="s">
        <v>11</v>
      </c>
      <c r="M1754" s="3">
        <v>86</v>
      </c>
      <c r="N1754" s="2">
        <v>259.75727876328739</v>
      </c>
    </row>
    <row r="1755" spans="9:14" x14ac:dyDescent="0.15">
      <c r="I1755">
        <v>1751</v>
      </c>
      <c r="J1755" t="s">
        <v>7</v>
      </c>
      <c r="K1755" s="1">
        <v>39068</v>
      </c>
      <c r="L1755" t="s">
        <v>9</v>
      </c>
      <c r="M1755" s="3">
        <v>47</v>
      </c>
      <c r="N1755" s="2">
        <v>142.93190581421757</v>
      </c>
    </row>
    <row r="1756" spans="9:14" x14ac:dyDescent="0.15">
      <c r="I1756">
        <v>1752</v>
      </c>
      <c r="J1756" t="s">
        <v>2</v>
      </c>
      <c r="K1756" s="1">
        <v>38881</v>
      </c>
      <c r="L1756" t="s">
        <v>13</v>
      </c>
      <c r="M1756" s="3">
        <v>20</v>
      </c>
      <c r="N1756" s="2">
        <v>62.6034037824639</v>
      </c>
    </row>
    <row r="1757" spans="9:14" x14ac:dyDescent="0.15">
      <c r="I1757">
        <v>1753</v>
      </c>
      <c r="J1757" t="s">
        <v>0</v>
      </c>
      <c r="K1757" s="1">
        <v>38122</v>
      </c>
      <c r="L1757" t="s">
        <v>12</v>
      </c>
      <c r="M1757" s="3">
        <v>33</v>
      </c>
      <c r="N1757" s="2">
        <v>101.41906626440009</v>
      </c>
    </row>
    <row r="1758" spans="9:14" x14ac:dyDescent="0.15">
      <c r="I1758">
        <v>1754</v>
      </c>
      <c r="J1758" t="s">
        <v>1</v>
      </c>
      <c r="K1758" s="1">
        <v>38298</v>
      </c>
      <c r="L1758" t="s">
        <v>12</v>
      </c>
      <c r="M1758" s="3">
        <v>-10</v>
      </c>
      <c r="N1758" s="2">
        <v>-27.865488210965292</v>
      </c>
    </row>
    <row r="1759" spans="9:14" x14ac:dyDescent="0.15">
      <c r="I1759">
        <v>1755</v>
      </c>
      <c r="J1759" t="s">
        <v>7</v>
      </c>
      <c r="K1759" s="1">
        <v>39057</v>
      </c>
      <c r="L1759" t="s">
        <v>10</v>
      </c>
      <c r="M1759" s="3">
        <v>40</v>
      </c>
      <c r="N1759" s="2">
        <v>122.39966734312085</v>
      </c>
    </row>
    <row r="1760" spans="9:14" x14ac:dyDescent="0.15">
      <c r="I1760">
        <v>1756</v>
      </c>
      <c r="J1760" t="s">
        <v>5</v>
      </c>
      <c r="K1760" s="1">
        <v>38188</v>
      </c>
      <c r="L1760" t="s">
        <v>9</v>
      </c>
      <c r="M1760" s="3">
        <v>13</v>
      </c>
      <c r="N1760" s="2">
        <v>40.440362188704526</v>
      </c>
    </row>
    <row r="1761" spans="9:14" x14ac:dyDescent="0.15">
      <c r="I1761">
        <v>1757</v>
      </c>
      <c r="J1761" t="s">
        <v>6</v>
      </c>
      <c r="K1761" s="1">
        <v>38958</v>
      </c>
      <c r="L1761" t="s">
        <v>10</v>
      </c>
      <c r="M1761" s="3">
        <v>20</v>
      </c>
      <c r="N1761" s="2">
        <v>62.159874636859705</v>
      </c>
    </row>
    <row r="1762" spans="9:14" x14ac:dyDescent="0.15">
      <c r="I1762">
        <v>1758</v>
      </c>
      <c r="J1762" t="s">
        <v>5</v>
      </c>
      <c r="K1762" s="1">
        <v>38045</v>
      </c>
      <c r="L1762" t="s">
        <v>11</v>
      </c>
      <c r="M1762" s="3">
        <v>22</v>
      </c>
      <c r="N1762" s="2">
        <v>68.778643754081543</v>
      </c>
    </row>
    <row r="1763" spans="9:14" x14ac:dyDescent="0.15">
      <c r="I1763">
        <v>1759</v>
      </c>
      <c r="J1763" t="s">
        <v>4</v>
      </c>
      <c r="K1763" s="1">
        <v>38606</v>
      </c>
      <c r="L1763" t="s">
        <v>9</v>
      </c>
      <c r="M1763" s="3">
        <v>91</v>
      </c>
      <c r="N1763" s="2">
        <v>275.56378169889956</v>
      </c>
    </row>
    <row r="1764" spans="9:14" x14ac:dyDescent="0.15">
      <c r="I1764">
        <v>1760</v>
      </c>
      <c r="J1764" t="s">
        <v>8</v>
      </c>
      <c r="K1764" s="1">
        <v>38848</v>
      </c>
      <c r="L1764" t="s">
        <v>10</v>
      </c>
      <c r="M1764" s="3">
        <v>17</v>
      </c>
      <c r="N1764" s="2">
        <v>53.536546154185139</v>
      </c>
    </row>
    <row r="1765" spans="9:14" x14ac:dyDescent="0.15">
      <c r="I1765">
        <v>1761</v>
      </c>
      <c r="J1765" t="s">
        <v>4</v>
      </c>
      <c r="K1765" s="1">
        <v>38298</v>
      </c>
      <c r="L1765" t="s">
        <v>10</v>
      </c>
      <c r="M1765" s="3">
        <v>77</v>
      </c>
      <c r="N1765" s="2">
        <v>232.78300193286029</v>
      </c>
    </row>
    <row r="1766" spans="9:14" x14ac:dyDescent="0.15">
      <c r="I1766">
        <v>1762</v>
      </c>
      <c r="J1766" t="s">
        <v>1</v>
      </c>
      <c r="K1766" s="1">
        <v>39057</v>
      </c>
      <c r="L1766" t="s">
        <v>12</v>
      </c>
      <c r="M1766" s="3">
        <v>8</v>
      </c>
      <c r="N1766" s="2">
        <v>25.170033543748811</v>
      </c>
    </row>
    <row r="1767" spans="9:14" x14ac:dyDescent="0.15">
      <c r="I1767">
        <v>1763</v>
      </c>
      <c r="J1767" t="s">
        <v>6</v>
      </c>
      <c r="K1767" s="1">
        <v>38584</v>
      </c>
      <c r="L1767" t="s">
        <v>11</v>
      </c>
      <c r="M1767" s="3">
        <v>-1</v>
      </c>
      <c r="N1767" s="2">
        <v>-0.68878150112298231</v>
      </c>
    </row>
    <row r="1768" spans="9:14" x14ac:dyDescent="0.15">
      <c r="I1768">
        <v>1764</v>
      </c>
      <c r="J1768" t="s">
        <v>3</v>
      </c>
      <c r="K1768" s="1">
        <v>38507</v>
      </c>
      <c r="L1768" t="s">
        <v>10</v>
      </c>
      <c r="M1768" s="3">
        <v>52</v>
      </c>
      <c r="N1768" s="2">
        <v>158.074363782803</v>
      </c>
    </row>
    <row r="1769" spans="9:14" x14ac:dyDescent="0.15">
      <c r="I1769">
        <v>1765</v>
      </c>
      <c r="J1769" t="s">
        <v>7</v>
      </c>
      <c r="K1769" s="1">
        <v>38595</v>
      </c>
      <c r="L1769" t="s">
        <v>12</v>
      </c>
      <c r="M1769" s="3">
        <v>50</v>
      </c>
      <c r="N1769" s="2">
        <v>152.59801251978521</v>
      </c>
    </row>
    <row r="1770" spans="9:14" x14ac:dyDescent="0.15">
      <c r="I1770">
        <v>1766</v>
      </c>
      <c r="J1770" t="s">
        <v>7</v>
      </c>
      <c r="K1770" s="1">
        <v>38892</v>
      </c>
      <c r="L1770" t="s">
        <v>9</v>
      </c>
      <c r="M1770" s="3">
        <v>69</v>
      </c>
      <c r="N1770" s="2">
        <v>209.27458050780132</v>
      </c>
    </row>
    <row r="1771" spans="9:14" x14ac:dyDescent="0.15">
      <c r="I1771">
        <v>1767</v>
      </c>
      <c r="J1771" t="s">
        <v>5</v>
      </c>
      <c r="K1771" s="1">
        <v>38870</v>
      </c>
      <c r="L1771" t="s">
        <v>12</v>
      </c>
      <c r="M1771" s="3">
        <v>-10</v>
      </c>
      <c r="N1771" s="2">
        <v>-28.429474612283389</v>
      </c>
    </row>
    <row r="1772" spans="9:14" x14ac:dyDescent="0.15">
      <c r="I1772">
        <v>1768</v>
      </c>
      <c r="J1772" t="s">
        <v>4</v>
      </c>
      <c r="K1772" s="1">
        <v>38243</v>
      </c>
      <c r="L1772" t="s">
        <v>9</v>
      </c>
      <c r="M1772" s="3">
        <v>-10</v>
      </c>
      <c r="N1772" s="2">
        <v>-27.787426760377638</v>
      </c>
    </row>
    <row r="1773" spans="9:14" x14ac:dyDescent="0.15">
      <c r="I1773">
        <v>1769</v>
      </c>
      <c r="J1773" t="s">
        <v>0</v>
      </c>
      <c r="K1773" s="1">
        <v>38650</v>
      </c>
      <c r="L1773" t="s">
        <v>12</v>
      </c>
      <c r="M1773" s="3">
        <v>90</v>
      </c>
      <c r="N1773" s="2">
        <v>272.47244684275518</v>
      </c>
    </row>
    <row r="1774" spans="9:14" x14ac:dyDescent="0.15">
      <c r="I1774">
        <v>1770</v>
      </c>
      <c r="J1774" t="s">
        <v>6</v>
      </c>
      <c r="K1774" s="1">
        <v>39035</v>
      </c>
      <c r="L1774" t="s">
        <v>9</v>
      </c>
      <c r="M1774" s="3">
        <v>-4</v>
      </c>
      <c r="N1774" s="2">
        <v>-9.8005201872550316</v>
      </c>
    </row>
    <row r="1775" spans="9:14" x14ac:dyDescent="0.15">
      <c r="I1775">
        <v>1771</v>
      </c>
      <c r="J1775" t="s">
        <v>8</v>
      </c>
      <c r="K1775" s="1">
        <v>38947</v>
      </c>
      <c r="L1775" t="s">
        <v>10</v>
      </c>
      <c r="M1775" s="3">
        <v>14</v>
      </c>
      <c r="N1775" s="2">
        <v>44.066692086610537</v>
      </c>
    </row>
    <row r="1776" spans="9:14" x14ac:dyDescent="0.15">
      <c r="I1776">
        <v>1772</v>
      </c>
      <c r="J1776" t="s">
        <v>5</v>
      </c>
      <c r="K1776" s="1">
        <v>38705</v>
      </c>
      <c r="L1776" t="s">
        <v>10</v>
      </c>
      <c r="M1776" s="3">
        <v>13</v>
      </c>
      <c r="N1776" s="2">
        <v>41.651608836226835</v>
      </c>
    </row>
    <row r="1777" spans="9:14" x14ac:dyDescent="0.15">
      <c r="I1777">
        <v>1773</v>
      </c>
      <c r="J1777" t="s">
        <v>2</v>
      </c>
      <c r="K1777" s="1">
        <v>38188</v>
      </c>
      <c r="L1777" t="s">
        <v>9</v>
      </c>
      <c r="M1777" s="3">
        <v>-10</v>
      </c>
      <c r="N1777" s="2">
        <v>-27.449007372488328</v>
      </c>
    </row>
    <row r="1778" spans="9:14" x14ac:dyDescent="0.15">
      <c r="I1778">
        <v>1774</v>
      </c>
      <c r="J1778" t="s">
        <v>7</v>
      </c>
      <c r="K1778" s="1">
        <v>38397</v>
      </c>
      <c r="L1778" t="s">
        <v>9</v>
      </c>
      <c r="M1778" s="3">
        <v>81</v>
      </c>
      <c r="N1778" s="2">
        <v>244.96209724909312</v>
      </c>
    </row>
    <row r="1779" spans="9:14" x14ac:dyDescent="0.15">
      <c r="I1779">
        <v>1775</v>
      </c>
      <c r="J1779" t="s">
        <v>8</v>
      </c>
      <c r="K1779" s="1">
        <v>38353</v>
      </c>
      <c r="L1779" t="s">
        <v>9</v>
      </c>
      <c r="M1779" s="3">
        <v>91</v>
      </c>
      <c r="N1779" s="2">
        <v>274.01633323079733</v>
      </c>
    </row>
    <row r="1780" spans="9:14" x14ac:dyDescent="0.15">
      <c r="I1780">
        <v>1776</v>
      </c>
      <c r="J1780" t="s">
        <v>1</v>
      </c>
      <c r="K1780" s="1">
        <v>38342</v>
      </c>
      <c r="L1780" t="s">
        <v>10</v>
      </c>
      <c r="M1780" s="3">
        <v>7</v>
      </c>
      <c r="N1780" s="2">
        <v>23.096103574094034</v>
      </c>
    </row>
    <row r="1781" spans="9:14" x14ac:dyDescent="0.15">
      <c r="I1781">
        <v>1777</v>
      </c>
      <c r="J1781" t="s">
        <v>8</v>
      </c>
      <c r="K1781" s="1">
        <v>38705</v>
      </c>
      <c r="L1781" t="s">
        <v>11</v>
      </c>
      <c r="M1781" s="3">
        <v>95</v>
      </c>
      <c r="N1781" s="2">
        <v>286.4091350392265</v>
      </c>
    </row>
    <row r="1782" spans="9:14" x14ac:dyDescent="0.15">
      <c r="I1782">
        <v>1778</v>
      </c>
      <c r="J1782" t="s">
        <v>2</v>
      </c>
      <c r="K1782" s="1">
        <v>38793</v>
      </c>
      <c r="L1782" t="s">
        <v>12</v>
      </c>
      <c r="M1782" s="3">
        <v>7</v>
      </c>
      <c r="N1782" s="2">
        <v>23.460398451433193</v>
      </c>
    </row>
    <row r="1783" spans="9:14" x14ac:dyDescent="0.15">
      <c r="I1783">
        <v>1779</v>
      </c>
      <c r="J1783" t="s">
        <v>5</v>
      </c>
      <c r="K1783" s="1">
        <v>38452</v>
      </c>
      <c r="L1783" t="s">
        <v>12</v>
      </c>
      <c r="M1783" s="3">
        <v>9</v>
      </c>
      <c r="N1783" s="2">
        <v>29.496709116948491</v>
      </c>
    </row>
    <row r="1784" spans="9:14" x14ac:dyDescent="0.15">
      <c r="I1784">
        <v>1780</v>
      </c>
      <c r="J1784" t="s">
        <v>5</v>
      </c>
      <c r="K1784" s="1">
        <v>38111</v>
      </c>
      <c r="L1784" t="s">
        <v>9</v>
      </c>
      <c r="M1784" s="3">
        <v>16</v>
      </c>
      <c r="N1784" s="2">
        <v>50.32304691843445</v>
      </c>
    </row>
    <row r="1785" spans="9:14" x14ac:dyDescent="0.15">
      <c r="I1785">
        <v>1781</v>
      </c>
      <c r="J1785" t="s">
        <v>6</v>
      </c>
      <c r="K1785" s="1">
        <v>38408</v>
      </c>
      <c r="L1785" t="s">
        <v>10</v>
      </c>
      <c r="M1785" s="3">
        <v>37</v>
      </c>
      <c r="N1785" s="2">
        <v>112.6423668975758</v>
      </c>
    </row>
    <row r="1786" spans="9:14" x14ac:dyDescent="0.15">
      <c r="I1786">
        <v>1782</v>
      </c>
      <c r="J1786" t="s">
        <v>7</v>
      </c>
      <c r="K1786" s="1">
        <v>38991</v>
      </c>
      <c r="L1786" t="s">
        <v>10</v>
      </c>
      <c r="M1786" s="3">
        <v>38</v>
      </c>
      <c r="N1786" s="2">
        <v>115.86694350408794</v>
      </c>
    </row>
    <row r="1787" spans="9:14" x14ac:dyDescent="0.15">
      <c r="I1787">
        <v>1783</v>
      </c>
      <c r="J1787" t="s">
        <v>8</v>
      </c>
      <c r="K1787" s="1">
        <v>38980</v>
      </c>
      <c r="L1787" t="s">
        <v>13</v>
      </c>
      <c r="M1787" s="3">
        <v>43</v>
      </c>
      <c r="N1787" s="2">
        <v>130.38058732657913</v>
      </c>
    </row>
    <row r="1788" spans="9:14" x14ac:dyDescent="0.15">
      <c r="I1788">
        <v>1784</v>
      </c>
      <c r="J1788" t="s">
        <v>7</v>
      </c>
      <c r="K1788" s="1">
        <v>38903</v>
      </c>
      <c r="L1788" t="s">
        <v>12</v>
      </c>
      <c r="M1788" s="3">
        <v>-5</v>
      </c>
      <c r="N1788" s="2">
        <v>-12.649706737241745</v>
      </c>
    </row>
    <row r="1789" spans="9:14" x14ac:dyDescent="0.15">
      <c r="I1789">
        <v>1785</v>
      </c>
      <c r="J1789" t="s">
        <v>5</v>
      </c>
      <c r="K1789" s="1">
        <v>39035</v>
      </c>
      <c r="L1789" t="s">
        <v>11</v>
      </c>
      <c r="M1789" s="3">
        <v>9</v>
      </c>
      <c r="N1789" s="2">
        <v>28.951087924744211</v>
      </c>
    </row>
    <row r="1790" spans="9:14" x14ac:dyDescent="0.15">
      <c r="I1790">
        <v>1786</v>
      </c>
      <c r="J1790" t="s">
        <v>8</v>
      </c>
      <c r="K1790" s="1">
        <v>38727</v>
      </c>
      <c r="L1790" t="s">
        <v>10</v>
      </c>
      <c r="M1790" s="3">
        <v>-9</v>
      </c>
      <c r="N1790" s="2">
        <v>-24.653364515512152</v>
      </c>
    </row>
    <row r="1791" spans="9:14" x14ac:dyDescent="0.15">
      <c r="I1791">
        <v>1787</v>
      </c>
      <c r="J1791" t="s">
        <v>0</v>
      </c>
      <c r="K1791" s="1">
        <v>38595</v>
      </c>
      <c r="L1791" t="s">
        <v>13</v>
      </c>
      <c r="M1791" s="3">
        <v>24</v>
      </c>
      <c r="N1791" s="2">
        <v>74.611228324097638</v>
      </c>
    </row>
    <row r="1792" spans="9:14" x14ac:dyDescent="0.15">
      <c r="I1792">
        <v>1788</v>
      </c>
      <c r="J1792" t="s">
        <v>7</v>
      </c>
      <c r="K1792" s="1">
        <v>38111</v>
      </c>
      <c r="L1792" t="s">
        <v>10</v>
      </c>
      <c r="M1792" s="3">
        <v>30</v>
      </c>
      <c r="N1792" s="2">
        <v>91.370060380593657</v>
      </c>
    </row>
    <row r="1793" spans="9:14" x14ac:dyDescent="0.15">
      <c r="I1793">
        <v>1789</v>
      </c>
      <c r="J1793" t="s">
        <v>1</v>
      </c>
      <c r="K1793" s="1">
        <v>38694</v>
      </c>
      <c r="L1793" t="s">
        <v>10</v>
      </c>
      <c r="M1793" s="3">
        <v>83</v>
      </c>
      <c r="N1793" s="2">
        <v>250.84508105520038</v>
      </c>
    </row>
    <row r="1794" spans="9:14" x14ac:dyDescent="0.15">
      <c r="I1794">
        <v>1790</v>
      </c>
      <c r="J1794" t="s">
        <v>5</v>
      </c>
      <c r="K1794" s="1">
        <v>38067</v>
      </c>
      <c r="L1794" t="s">
        <v>10</v>
      </c>
      <c r="M1794" s="3">
        <v>90</v>
      </c>
      <c r="N1794" s="2">
        <v>271.87067701120321</v>
      </c>
    </row>
    <row r="1795" spans="9:14" x14ac:dyDescent="0.15">
      <c r="I1795">
        <v>1791</v>
      </c>
      <c r="J1795" t="s">
        <v>2</v>
      </c>
      <c r="K1795" s="1">
        <v>38441</v>
      </c>
      <c r="L1795" t="s">
        <v>11</v>
      </c>
      <c r="M1795" s="3">
        <v>82</v>
      </c>
      <c r="N1795" s="2">
        <v>248.22787993853669</v>
      </c>
    </row>
    <row r="1796" spans="9:14" x14ac:dyDescent="0.15">
      <c r="I1796">
        <v>1792</v>
      </c>
      <c r="J1796" t="s">
        <v>3</v>
      </c>
      <c r="K1796" s="1">
        <v>38650</v>
      </c>
      <c r="L1796" t="s">
        <v>11</v>
      </c>
      <c r="M1796" s="3">
        <v>51</v>
      </c>
      <c r="N1796" s="2">
        <v>155.23329282201692</v>
      </c>
    </row>
    <row r="1797" spans="9:14" x14ac:dyDescent="0.15">
      <c r="I1797">
        <v>1793</v>
      </c>
      <c r="J1797" t="s">
        <v>7</v>
      </c>
      <c r="K1797" s="1">
        <v>37990</v>
      </c>
      <c r="L1797" t="s">
        <v>10</v>
      </c>
      <c r="M1797" s="3">
        <v>66</v>
      </c>
      <c r="N1797" s="2">
        <v>200.12511432116293</v>
      </c>
    </row>
    <row r="1798" spans="9:14" x14ac:dyDescent="0.15">
      <c r="I1798">
        <v>1794</v>
      </c>
      <c r="J1798" t="s">
        <v>5</v>
      </c>
      <c r="K1798" s="1">
        <v>38716</v>
      </c>
      <c r="L1798" t="s">
        <v>12</v>
      </c>
      <c r="M1798" s="3">
        <v>29</v>
      </c>
      <c r="N1798" s="2">
        <v>89.016407302334798</v>
      </c>
    </row>
    <row r="1799" spans="9:14" x14ac:dyDescent="0.15">
      <c r="I1799">
        <v>1795</v>
      </c>
      <c r="J1799" t="s">
        <v>6</v>
      </c>
      <c r="K1799" s="1">
        <v>38628</v>
      </c>
      <c r="L1799" t="s">
        <v>10</v>
      </c>
      <c r="M1799" s="3">
        <v>93</v>
      </c>
      <c r="N1799" s="2">
        <v>280.87456053220649</v>
      </c>
    </row>
    <row r="1800" spans="9:14" x14ac:dyDescent="0.15">
      <c r="I1800">
        <v>1796</v>
      </c>
      <c r="J1800" t="s">
        <v>0</v>
      </c>
      <c r="K1800" s="1">
        <v>39002</v>
      </c>
      <c r="L1800" t="s">
        <v>11</v>
      </c>
      <c r="M1800" s="3">
        <v>-3</v>
      </c>
      <c r="N1800" s="2">
        <v>-6.5419840395963593</v>
      </c>
    </row>
    <row r="1801" spans="9:14" x14ac:dyDescent="0.15">
      <c r="I1801">
        <v>1797</v>
      </c>
      <c r="J1801" t="s">
        <v>6</v>
      </c>
      <c r="K1801" s="1">
        <v>38969</v>
      </c>
      <c r="L1801" t="s">
        <v>10</v>
      </c>
      <c r="M1801" s="3">
        <v>-2</v>
      </c>
      <c r="N1801" s="2">
        <v>-3.6355111778913436</v>
      </c>
    </row>
    <row r="1802" spans="9:14" x14ac:dyDescent="0.15">
      <c r="I1802">
        <v>1798</v>
      </c>
      <c r="J1802" t="s">
        <v>1</v>
      </c>
      <c r="K1802" s="1">
        <v>38265</v>
      </c>
      <c r="L1802" t="s">
        <v>13</v>
      </c>
      <c r="M1802" s="3">
        <v>79</v>
      </c>
      <c r="N1802" s="2">
        <v>239.25077929031391</v>
      </c>
    </row>
    <row r="1803" spans="9:14" x14ac:dyDescent="0.15">
      <c r="I1803">
        <v>1799</v>
      </c>
      <c r="J1803" t="s">
        <v>8</v>
      </c>
      <c r="K1803" s="1">
        <v>39079</v>
      </c>
      <c r="L1803" t="s">
        <v>10</v>
      </c>
      <c r="M1803" s="3">
        <v>31</v>
      </c>
      <c r="N1803" s="2">
        <v>94.72145499265082</v>
      </c>
    </row>
    <row r="1804" spans="9:14" x14ac:dyDescent="0.15">
      <c r="I1804">
        <v>1800</v>
      </c>
      <c r="J1804" t="s">
        <v>3</v>
      </c>
      <c r="K1804" s="1">
        <v>38485</v>
      </c>
      <c r="L1804" t="s">
        <v>9</v>
      </c>
      <c r="M1804" s="3">
        <v>46</v>
      </c>
      <c r="N1804" s="2">
        <v>140.21517548818187</v>
      </c>
    </row>
    <row r="1805" spans="9:14" x14ac:dyDescent="0.15">
      <c r="I1805">
        <v>1801</v>
      </c>
      <c r="J1805" t="s">
        <v>5</v>
      </c>
      <c r="K1805" s="1">
        <v>39079</v>
      </c>
      <c r="L1805" t="s">
        <v>9</v>
      </c>
      <c r="M1805" s="3">
        <v>93</v>
      </c>
      <c r="N1805" s="2">
        <v>281.78560885336435</v>
      </c>
    </row>
    <row r="1806" spans="9:14" x14ac:dyDescent="0.15">
      <c r="I1806">
        <v>1802</v>
      </c>
      <c r="J1806" t="s">
        <v>5</v>
      </c>
      <c r="K1806" s="1">
        <v>38056</v>
      </c>
      <c r="L1806" t="s">
        <v>10</v>
      </c>
      <c r="M1806" s="3">
        <v>82</v>
      </c>
      <c r="N1806" s="2">
        <v>247.0191820862224</v>
      </c>
    </row>
    <row r="1807" spans="9:14" x14ac:dyDescent="0.15">
      <c r="I1807">
        <v>1803</v>
      </c>
      <c r="J1807" t="s">
        <v>7</v>
      </c>
      <c r="K1807" s="1">
        <v>39057</v>
      </c>
      <c r="L1807" t="s">
        <v>13</v>
      </c>
      <c r="M1807" s="3">
        <v>87</v>
      </c>
      <c r="N1807" s="2">
        <v>263.71733330819893</v>
      </c>
    </row>
    <row r="1808" spans="9:14" x14ac:dyDescent="0.15">
      <c r="I1808">
        <v>1804</v>
      </c>
      <c r="J1808" t="s">
        <v>6</v>
      </c>
      <c r="K1808" s="1">
        <v>38331</v>
      </c>
      <c r="L1808" t="s">
        <v>9</v>
      </c>
      <c r="M1808" s="3">
        <v>62</v>
      </c>
      <c r="N1808" s="2">
        <v>187.56768751552113</v>
      </c>
    </row>
    <row r="1809" spans="9:14" x14ac:dyDescent="0.15">
      <c r="I1809">
        <v>1805</v>
      </c>
      <c r="J1809" t="s">
        <v>1</v>
      </c>
      <c r="K1809" s="1">
        <v>38342</v>
      </c>
      <c r="L1809" t="s">
        <v>9</v>
      </c>
      <c r="M1809" s="3">
        <v>31</v>
      </c>
      <c r="N1809" s="2">
        <v>94.571992971518611</v>
      </c>
    </row>
    <row r="1810" spans="9:14" x14ac:dyDescent="0.15">
      <c r="I1810">
        <v>1806</v>
      </c>
      <c r="J1810" t="s">
        <v>6</v>
      </c>
      <c r="K1810" s="1">
        <v>38210</v>
      </c>
      <c r="L1810" t="s">
        <v>12</v>
      </c>
      <c r="M1810" s="3">
        <v>43</v>
      </c>
      <c r="N1810" s="2">
        <v>131.33084322347369</v>
      </c>
    </row>
    <row r="1811" spans="9:14" x14ac:dyDescent="0.15">
      <c r="I1811">
        <v>1807</v>
      </c>
      <c r="J1811" t="s">
        <v>1</v>
      </c>
      <c r="K1811" s="1">
        <v>38298</v>
      </c>
      <c r="L1811" t="s">
        <v>10</v>
      </c>
      <c r="M1811" s="3">
        <v>78</v>
      </c>
      <c r="N1811" s="2">
        <v>236.44038982169729</v>
      </c>
    </row>
    <row r="1812" spans="9:14" x14ac:dyDescent="0.15">
      <c r="I1812">
        <v>1808</v>
      </c>
      <c r="J1812" t="s">
        <v>1</v>
      </c>
      <c r="K1812" s="1">
        <v>38199</v>
      </c>
      <c r="L1812" t="s">
        <v>10</v>
      </c>
      <c r="M1812" s="3">
        <v>-1</v>
      </c>
      <c r="N1812" s="2">
        <v>-0.44195721388362097</v>
      </c>
    </row>
    <row r="1813" spans="9:14" x14ac:dyDescent="0.15">
      <c r="I1813">
        <v>1809</v>
      </c>
      <c r="J1813" t="s">
        <v>4</v>
      </c>
      <c r="K1813" s="1">
        <v>38056</v>
      </c>
      <c r="L1813" t="s">
        <v>13</v>
      </c>
      <c r="M1813" s="3">
        <v>5</v>
      </c>
      <c r="N1813" s="2">
        <v>17.469809541800071</v>
      </c>
    </row>
    <row r="1814" spans="9:14" x14ac:dyDescent="0.15">
      <c r="I1814">
        <v>1810</v>
      </c>
      <c r="J1814" t="s">
        <v>1</v>
      </c>
      <c r="K1814" s="1">
        <v>38859</v>
      </c>
      <c r="L1814" t="s">
        <v>13</v>
      </c>
      <c r="M1814" s="3">
        <v>30</v>
      </c>
      <c r="N1814" s="2">
        <v>92.310265407731023</v>
      </c>
    </row>
    <row r="1815" spans="9:14" x14ac:dyDescent="0.15">
      <c r="I1815">
        <v>1811</v>
      </c>
      <c r="J1815" t="s">
        <v>3</v>
      </c>
      <c r="K1815" s="1">
        <v>38826</v>
      </c>
      <c r="L1815" t="s">
        <v>11</v>
      </c>
      <c r="M1815" s="3">
        <v>65</v>
      </c>
      <c r="N1815" s="2">
        <v>197.17585549268185</v>
      </c>
    </row>
    <row r="1816" spans="9:14" x14ac:dyDescent="0.15">
      <c r="I1816">
        <v>1812</v>
      </c>
      <c r="J1816" t="s">
        <v>7</v>
      </c>
      <c r="K1816" s="1">
        <v>38848</v>
      </c>
      <c r="L1816" t="s">
        <v>12</v>
      </c>
      <c r="M1816" s="3">
        <v>14</v>
      </c>
      <c r="N1816" s="2">
        <v>43.795902693300988</v>
      </c>
    </row>
    <row r="1817" spans="9:14" x14ac:dyDescent="0.15">
      <c r="I1817">
        <v>1813</v>
      </c>
      <c r="J1817" t="s">
        <v>7</v>
      </c>
      <c r="K1817" s="1">
        <v>38683</v>
      </c>
      <c r="L1817" t="s">
        <v>9</v>
      </c>
      <c r="M1817" s="3">
        <v>10</v>
      </c>
      <c r="N1817" s="2">
        <v>31.259562735955448</v>
      </c>
    </row>
    <row r="1818" spans="9:14" x14ac:dyDescent="0.15">
      <c r="I1818">
        <v>1814</v>
      </c>
      <c r="J1818" t="s">
        <v>8</v>
      </c>
      <c r="K1818" s="1">
        <v>38056</v>
      </c>
      <c r="L1818" t="s">
        <v>13</v>
      </c>
      <c r="M1818" s="3">
        <v>31</v>
      </c>
      <c r="N1818" s="2">
        <v>94.729581013275251</v>
      </c>
    </row>
    <row r="1819" spans="9:14" x14ac:dyDescent="0.15">
      <c r="I1819">
        <v>1815</v>
      </c>
      <c r="J1819" t="s">
        <v>8</v>
      </c>
      <c r="K1819" s="1">
        <v>38826</v>
      </c>
      <c r="L1819" t="s">
        <v>12</v>
      </c>
      <c r="M1819" s="3">
        <v>25</v>
      </c>
      <c r="N1819" s="2">
        <v>77.103127744417094</v>
      </c>
    </row>
    <row r="1820" spans="9:14" x14ac:dyDescent="0.15">
      <c r="I1820">
        <v>1816</v>
      </c>
      <c r="J1820" t="s">
        <v>8</v>
      </c>
      <c r="K1820" s="1">
        <v>38430</v>
      </c>
      <c r="L1820" t="s">
        <v>13</v>
      </c>
      <c r="M1820" s="3">
        <v>11</v>
      </c>
      <c r="N1820" s="2">
        <v>35.295636570052608</v>
      </c>
    </row>
    <row r="1821" spans="9:14" x14ac:dyDescent="0.15">
      <c r="I1821">
        <v>1817</v>
      </c>
      <c r="J1821" t="s">
        <v>8</v>
      </c>
      <c r="K1821" s="1">
        <v>38001</v>
      </c>
      <c r="L1821" t="s">
        <v>9</v>
      </c>
      <c r="M1821" s="3">
        <v>62</v>
      </c>
      <c r="N1821" s="2">
        <v>187.51222635081746</v>
      </c>
    </row>
    <row r="1822" spans="9:14" x14ac:dyDescent="0.15">
      <c r="I1822">
        <v>1818</v>
      </c>
      <c r="J1822" t="s">
        <v>6</v>
      </c>
      <c r="K1822" s="1">
        <v>38012</v>
      </c>
      <c r="L1822" t="s">
        <v>9</v>
      </c>
      <c r="M1822" s="3">
        <v>4</v>
      </c>
      <c r="N1822" s="2">
        <v>14.186481337467258</v>
      </c>
    </row>
    <row r="1823" spans="9:14" x14ac:dyDescent="0.15">
      <c r="I1823">
        <v>1819</v>
      </c>
      <c r="J1823" t="s">
        <v>4</v>
      </c>
      <c r="K1823" s="1">
        <v>38969</v>
      </c>
      <c r="L1823" t="s">
        <v>11</v>
      </c>
      <c r="M1823" s="3">
        <v>4</v>
      </c>
      <c r="N1823" s="2">
        <v>13.713847194878378</v>
      </c>
    </row>
    <row r="1824" spans="9:14" x14ac:dyDescent="0.15">
      <c r="I1824">
        <v>1820</v>
      </c>
      <c r="J1824" t="s">
        <v>1</v>
      </c>
      <c r="K1824" s="1">
        <v>38683</v>
      </c>
      <c r="L1824" t="s">
        <v>10</v>
      </c>
      <c r="M1824" s="3">
        <v>71</v>
      </c>
      <c r="N1824" s="2">
        <v>215.12149125217519</v>
      </c>
    </row>
    <row r="1825" spans="9:14" x14ac:dyDescent="0.15">
      <c r="I1825">
        <v>1821</v>
      </c>
      <c r="J1825" t="s">
        <v>0</v>
      </c>
      <c r="K1825" s="1">
        <v>38859</v>
      </c>
      <c r="L1825" t="s">
        <v>13</v>
      </c>
      <c r="M1825" s="3">
        <v>67</v>
      </c>
      <c r="N1825" s="2">
        <v>203.18155970987976</v>
      </c>
    </row>
    <row r="1826" spans="9:14" x14ac:dyDescent="0.15">
      <c r="I1826">
        <v>1822</v>
      </c>
      <c r="J1826" t="s">
        <v>5</v>
      </c>
      <c r="K1826" s="1">
        <v>38463</v>
      </c>
      <c r="L1826" t="s">
        <v>10</v>
      </c>
      <c r="M1826" s="3">
        <v>19</v>
      </c>
      <c r="N1826" s="2">
        <v>59.451848680441209</v>
      </c>
    </row>
    <row r="1827" spans="9:14" x14ac:dyDescent="0.15">
      <c r="I1827">
        <v>1823</v>
      </c>
      <c r="J1827" t="s">
        <v>7</v>
      </c>
      <c r="K1827" s="1">
        <v>38529</v>
      </c>
      <c r="L1827" t="s">
        <v>10</v>
      </c>
      <c r="M1827" s="3">
        <v>12</v>
      </c>
      <c r="N1827" s="2">
        <v>37.634507305486729</v>
      </c>
    </row>
    <row r="1828" spans="9:14" x14ac:dyDescent="0.15">
      <c r="I1828">
        <v>1824</v>
      </c>
      <c r="J1828" t="s">
        <v>4</v>
      </c>
      <c r="K1828" s="1">
        <v>38892</v>
      </c>
      <c r="L1828" t="s">
        <v>10</v>
      </c>
      <c r="M1828" s="3">
        <v>50</v>
      </c>
      <c r="N1828" s="2">
        <v>151.66817286074655</v>
      </c>
    </row>
    <row r="1829" spans="9:14" x14ac:dyDescent="0.15">
      <c r="I1829">
        <v>1825</v>
      </c>
      <c r="J1829" t="s">
        <v>8</v>
      </c>
      <c r="K1829" s="1">
        <v>38760</v>
      </c>
      <c r="L1829" t="s">
        <v>13</v>
      </c>
      <c r="M1829" s="3">
        <v>73</v>
      </c>
      <c r="N1829" s="2">
        <v>221.23251800803121</v>
      </c>
    </row>
    <row r="1830" spans="9:14" x14ac:dyDescent="0.15">
      <c r="I1830">
        <v>1826</v>
      </c>
      <c r="J1830" t="s">
        <v>7</v>
      </c>
      <c r="K1830" s="1">
        <v>38947</v>
      </c>
      <c r="L1830" t="s">
        <v>13</v>
      </c>
      <c r="M1830" s="3">
        <v>30</v>
      </c>
      <c r="N1830" s="2">
        <v>91.686808812711931</v>
      </c>
    </row>
    <row r="1831" spans="9:14" x14ac:dyDescent="0.15">
      <c r="I1831">
        <v>1827</v>
      </c>
      <c r="J1831" t="s">
        <v>6</v>
      </c>
      <c r="K1831" s="1">
        <v>38243</v>
      </c>
      <c r="L1831" t="s">
        <v>12</v>
      </c>
      <c r="M1831" s="3">
        <v>19</v>
      </c>
      <c r="N1831" s="2">
        <v>59.101466872333368</v>
      </c>
    </row>
    <row r="1832" spans="9:14" x14ac:dyDescent="0.15">
      <c r="I1832">
        <v>1828</v>
      </c>
      <c r="J1832" t="s">
        <v>0</v>
      </c>
      <c r="K1832" s="1">
        <v>38507</v>
      </c>
      <c r="L1832" t="s">
        <v>11</v>
      </c>
      <c r="M1832" s="3">
        <v>48</v>
      </c>
      <c r="N1832" s="2">
        <v>145.21747547077908</v>
      </c>
    </row>
    <row r="1833" spans="9:14" x14ac:dyDescent="0.15">
      <c r="I1833">
        <v>1829</v>
      </c>
      <c r="J1833" t="s">
        <v>3</v>
      </c>
      <c r="K1833" s="1">
        <v>38859</v>
      </c>
      <c r="L1833" t="s">
        <v>12</v>
      </c>
      <c r="M1833" s="3">
        <v>-8</v>
      </c>
      <c r="N1833" s="2">
        <v>-21.602633683096364</v>
      </c>
    </row>
    <row r="1834" spans="9:14" x14ac:dyDescent="0.15">
      <c r="I1834">
        <v>1830</v>
      </c>
      <c r="J1834" t="s">
        <v>7</v>
      </c>
      <c r="K1834" s="1">
        <v>38947</v>
      </c>
      <c r="L1834" t="s">
        <v>10</v>
      </c>
      <c r="M1834" s="3">
        <v>-8</v>
      </c>
      <c r="N1834" s="2">
        <v>-22.143532028061156</v>
      </c>
    </row>
    <row r="1835" spans="9:14" x14ac:dyDescent="0.15">
      <c r="I1835">
        <v>1831</v>
      </c>
      <c r="J1835" t="s">
        <v>7</v>
      </c>
      <c r="K1835" s="1">
        <v>38441</v>
      </c>
      <c r="L1835" t="s">
        <v>10</v>
      </c>
      <c r="M1835" s="3">
        <v>28</v>
      </c>
      <c r="N1835" s="2">
        <v>85.906767980675738</v>
      </c>
    </row>
    <row r="1836" spans="9:14" x14ac:dyDescent="0.15">
      <c r="I1836">
        <v>1832</v>
      </c>
      <c r="J1836" t="s">
        <v>4</v>
      </c>
      <c r="K1836" s="1">
        <v>38617</v>
      </c>
      <c r="L1836" t="s">
        <v>12</v>
      </c>
      <c r="M1836" s="3">
        <v>81</v>
      </c>
      <c r="N1836" s="2">
        <v>245.21311554699477</v>
      </c>
    </row>
    <row r="1837" spans="9:14" x14ac:dyDescent="0.15">
      <c r="I1837">
        <v>1833</v>
      </c>
      <c r="J1837" t="s">
        <v>4</v>
      </c>
      <c r="K1837" s="1">
        <v>38364</v>
      </c>
      <c r="L1837" t="s">
        <v>10</v>
      </c>
      <c r="M1837" s="3">
        <v>12</v>
      </c>
      <c r="N1837" s="2">
        <v>37.991916032039505</v>
      </c>
    </row>
    <row r="1838" spans="9:14" x14ac:dyDescent="0.15">
      <c r="I1838">
        <v>1834</v>
      </c>
      <c r="J1838" t="s">
        <v>4</v>
      </c>
      <c r="K1838" s="1">
        <v>38782</v>
      </c>
      <c r="L1838" t="s">
        <v>11</v>
      </c>
      <c r="M1838" s="3">
        <v>54</v>
      </c>
      <c r="N1838" s="2">
        <v>164.03373721658585</v>
      </c>
    </row>
    <row r="1839" spans="9:14" x14ac:dyDescent="0.15">
      <c r="I1839">
        <v>1835</v>
      </c>
      <c r="J1839" t="s">
        <v>4</v>
      </c>
      <c r="K1839" s="1">
        <v>38496</v>
      </c>
      <c r="L1839" t="s">
        <v>9</v>
      </c>
      <c r="M1839" s="3">
        <v>70</v>
      </c>
      <c r="N1839" s="2">
        <v>212.30572042127932</v>
      </c>
    </row>
    <row r="1840" spans="9:14" x14ac:dyDescent="0.15">
      <c r="I1840">
        <v>1836</v>
      </c>
      <c r="J1840" t="s">
        <v>4</v>
      </c>
      <c r="K1840" s="1">
        <v>38573</v>
      </c>
      <c r="L1840" t="s">
        <v>11</v>
      </c>
      <c r="M1840" s="3">
        <v>89</v>
      </c>
      <c r="N1840" s="2">
        <v>269.07289128480653</v>
      </c>
    </row>
    <row r="1841" spans="9:14" x14ac:dyDescent="0.15">
      <c r="I1841">
        <v>1837</v>
      </c>
      <c r="J1841" t="s">
        <v>1</v>
      </c>
      <c r="K1841" s="1">
        <v>38606</v>
      </c>
      <c r="L1841" t="s">
        <v>9</v>
      </c>
      <c r="M1841" s="3">
        <v>10</v>
      </c>
      <c r="N1841" s="2">
        <v>32.271941209300522</v>
      </c>
    </row>
    <row r="1842" spans="9:14" x14ac:dyDescent="0.15">
      <c r="I1842">
        <v>1838</v>
      </c>
      <c r="J1842" t="s">
        <v>8</v>
      </c>
      <c r="K1842" s="1">
        <v>37990</v>
      </c>
      <c r="L1842" t="s">
        <v>9</v>
      </c>
      <c r="M1842" s="3">
        <v>52</v>
      </c>
      <c r="N1842" s="2">
        <v>158.17581888720281</v>
      </c>
    </row>
    <row r="1843" spans="9:14" x14ac:dyDescent="0.15">
      <c r="I1843">
        <v>1839</v>
      </c>
      <c r="J1843" t="s">
        <v>1</v>
      </c>
      <c r="K1843" s="1">
        <v>38540</v>
      </c>
      <c r="L1843" t="s">
        <v>12</v>
      </c>
      <c r="M1843" s="3">
        <v>85</v>
      </c>
      <c r="N1843" s="2">
        <v>257.81669173781398</v>
      </c>
    </row>
    <row r="1844" spans="9:14" x14ac:dyDescent="0.15">
      <c r="I1844">
        <v>1840</v>
      </c>
      <c r="J1844" t="s">
        <v>6</v>
      </c>
      <c r="K1844" s="1">
        <v>38529</v>
      </c>
      <c r="L1844" t="s">
        <v>9</v>
      </c>
      <c r="M1844" s="3">
        <v>31</v>
      </c>
      <c r="N1844" s="2">
        <v>93.983701954495999</v>
      </c>
    </row>
    <row r="1845" spans="9:14" x14ac:dyDescent="0.15">
      <c r="I1845">
        <v>1841</v>
      </c>
      <c r="J1845" t="s">
        <v>5</v>
      </c>
      <c r="K1845" s="1">
        <v>38793</v>
      </c>
      <c r="L1845" t="s">
        <v>12</v>
      </c>
      <c r="M1845" s="3">
        <v>36</v>
      </c>
      <c r="N1845" s="2">
        <v>110.02990284078979</v>
      </c>
    </row>
    <row r="1846" spans="9:14" x14ac:dyDescent="0.15">
      <c r="I1846">
        <v>1842</v>
      </c>
      <c r="J1846" t="s">
        <v>2</v>
      </c>
      <c r="K1846" s="1">
        <v>38089</v>
      </c>
      <c r="L1846" t="s">
        <v>10</v>
      </c>
      <c r="M1846" s="3">
        <v>80</v>
      </c>
      <c r="N1846" s="2">
        <v>241.83353913915346</v>
      </c>
    </row>
    <row r="1847" spans="9:14" x14ac:dyDescent="0.15">
      <c r="I1847">
        <v>1843</v>
      </c>
      <c r="J1847" t="s">
        <v>2</v>
      </c>
      <c r="K1847" s="1">
        <v>38562</v>
      </c>
      <c r="L1847" t="s">
        <v>12</v>
      </c>
      <c r="M1847" s="3">
        <v>27</v>
      </c>
      <c r="N1847" s="2">
        <v>82.455751292325587</v>
      </c>
    </row>
    <row r="1848" spans="9:14" x14ac:dyDescent="0.15">
      <c r="I1848">
        <v>1844</v>
      </c>
      <c r="J1848" t="s">
        <v>1</v>
      </c>
      <c r="K1848" s="1">
        <v>38111</v>
      </c>
      <c r="L1848" t="s">
        <v>9</v>
      </c>
      <c r="M1848" s="3">
        <v>46</v>
      </c>
      <c r="N1848" s="2">
        <v>140.39446141212673</v>
      </c>
    </row>
    <row r="1849" spans="9:14" x14ac:dyDescent="0.15">
      <c r="I1849">
        <v>1845</v>
      </c>
      <c r="J1849" t="s">
        <v>1</v>
      </c>
      <c r="K1849" s="1">
        <v>38188</v>
      </c>
      <c r="L1849" t="s">
        <v>9</v>
      </c>
      <c r="M1849" s="3">
        <v>29</v>
      </c>
      <c r="N1849" s="2">
        <v>89.577515368145924</v>
      </c>
    </row>
    <row r="1850" spans="9:14" x14ac:dyDescent="0.15">
      <c r="I1850">
        <v>1846</v>
      </c>
      <c r="J1850" t="s">
        <v>0</v>
      </c>
      <c r="K1850" s="1">
        <v>38760</v>
      </c>
      <c r="L1850" t="s">
        <v>10</v>
      </c>
      <c r="M1850" s="3">
        <v>55</v>
      </c>
      <c r="N1850" s="2">
        <v>167.03601910379061</v>
      </c>
    </row>
    <row r="1851" spans="9:14" x14ac:dyDescent="0.15">
      <c r="I1851">
        <v>1847</v>
      </c>
      <c r="J1851" t="s">
        <v>5</v>
      </c>
      <c r="K1851" s="1">
        <v>38243</v>
      </c>
      <c r="L1851" t="s">
        <v>12</v>
      </c>
      <c r="M1851" s="3">
        <v>2</v>
      </c>
      <c r="N1851" s="2">
        <v>7.3173645509019103</v>
      </c>
    </row>
    <row r="1852" spans="9:14" x14ac:dyDescent="0.15">
      <c r="I1852">
        <v>1848</v>
      </c>
      <c r="J1852" t="s">
        <v>8</v>
      </c>
      <c r="K1852" s="1">
        <v>38892</v>
      </c>
      <c r="L1852" t="s">
        <v>9</v>
      </c>
      <c r="M1852" s="3">
        <v>60</v>
      </c>
      <c r="N1852" s="2">
        <v>182.39254500689876</v>
      </c>
    </row>
    <row r="1853" spans="9:14" x14ac:dyDescent="0.15">
      <c r="I1853">
        <v>1849</v>
      </c>
      <c r="J1853" t="s">
        <v>4</v>
      </c>
      <c r="K1853" s="1">
        <v>38562</v>
      </c>
      <c r="L1853" t="s">
        <v>10</v>
      </c>
      <c r="M1853" s="3">
        <v>12</v>
      </c>
      <c r="N1853" s="2">
        <v>37.851664258571823</v>
      </c>
    </row>
    <row r="1854" spans="9:14" x14ac:dyDescent="0.15">
      <c r="I1854">
        <v>1850</v>
      </c>
      <c r="J1854" t="s">
        <v>0</v>
      </c>
      <c r="K1854" s="1">
        <v>38122</v>
      </c>
      <c r="L1854" t="s">
        <v>12</v>
      </c>
      <c r="M1854" s="3">
        <v>52</v>
      </c>
      <c r="N1854" s="2">
        <v>157.88309865957618</v>
      </c>
    </row>
    <row r="1855" spans="9:14" x14ac:dyDescent="0.15">
      <c r="I1855">
        <v>1851</v>
      </c>
      <c r="J1855" t="s">
        <v>6</v>
      </c>
      <c r="K1855" s="1">
        <v>38100</v>
      </c>
      <c r="L1855" t="s">
        <v>10</v>
      </c>
      <c r="M1855" s="3">
        <v>37</v>
      </c>
      <c r="N1855" s="2">
        <v>113.27390397366521</v>
      </c>
    </row>
    <row r="1856" spans="9:14" x14ac:dyDescent="0.15">
      <c r="I1856">
        <v>1852</v>
      </c>
      <c r="J1856" t="s">
        <v>6</v>
      </c>
      <c r="K1856" s="1">
        <v>38254</v>
      </c>
      <c r="L1856" t="s">
        <v>13</v>
      </c>
      <c r="M1856" s="3">
        <v>36</v>
      </c>
      <c r="N1856" s="2">
        <v>110.51900033744339</v>
      </c>
    </row>
    <row r="1857" spans="9:14" x14ac:dyDescent="0.15">
      <c r="I1857">
        <v>1853</v>
      </c>
      <c r="J1857" t="s">
        <v>7</v>
      </c>
      <c r="K1857" s="1">
        <v>38100</v>
      </c>
      <c r="L1857" t="s">
        <v>10</v>
      </c>
      <c r="M1857" s="3">
        <v>87</v>
      </c>
      <c r="N1857" s="2">
        <v>262.81312845180031</v>
      </c>
    </row>
    <row r="1858" spans="9:14" x14ac:dyDescent="0.15">
      <c r="I1858">
        <v>1854</v>
      </c>
      <c r="J1858" t="s">
        <v>1</v>
      </c>
      <c r="K1858" s="1">
        <v>38749</v>
      </c>
      <c r="L1858" t="s">
        <v>12</v>
      </c>
      <c r="M1858" s="3">
        <v>16</v>
      </c>
      <c r="N1858" s="2">
        <v>50.279574486289519</v>
      </c>
    </row>
    <row r="1859" spans="9:14" x14ac:dyDescent="0.15">
      <c r="I1859">
        <v>1855</v>
      </c>
      <c r="J1859" t="s">
        <v>5</v>
      </c>
      <c r="K1859" s="1">
        <v>38551</v>
      </c>
      <c r="L1859" t="s">
        <v>10</v>
      </c>
      <c r="M1859" s="3">
        <v>50</v>
      </c>
      <c r="N1859" s="2">
        <v>152.12593577749263</v>
      </c>
    </row>
    <row r="1860" spans="9:14" x14ac:dyDescent="0.15">
      <c r="I1860">
        <v>1856</v>
      </c>
      <c r="J1860" t="s">
        <v>3</v>
      </c>
      <c r="K1860" s="1">
        <v>38749</v>
      </c>
      <c r="L1860" t="s">
        <v>12</v>
      </c>
      <c r="M1860" s="3">
        <v>53</v>
      </c>
      <c r="N1860" s="2">
        <v>160.62764519173885</v>
      </c>
    </row>
    <row r="1861" spans="9:14" x14ac:dyDescent="0.15">
      <c r="I1861">
        <v>1857</v>
      </c>
      <c r="J1861" t="s">
        <v>7</v>
      </c>
      <c r="K1861" s="1">
        <v>38133</v>
      </c>
      <c r="L1861" t="s">
        <v>9</v>
      </c>
      <c r="M1861" s="3">
        <v>61</v>
      </c>
      <c r="N1861" s="2">
        <v>184.76093809619837</v>
      </c>
    </row>
    <row r="1862" spans="9:14" x14ac:dyDescent="0.15">
      <c r="I1862">
        <v>1858</v>
      </c>
      <c r="J1862" t="s">
        <v>6</v>
      </c>
      <c r="K1862" s="1">
        <v>38540</v>
      </c>
      <c r="L1862" t="s">
        <v>9</v>
      </c>
      <c r="M1862" s="3">
        <v>95</v>
      </c>
      <c r="N1862" s="2">
        <v>286.82526300294711</v>
      </c>
    </row>
    <row r="1863" spans="9:14" x14ac:dyDescent="0.15">
      <c r="I1863">
        <v>1859</v>
      </c>
      <c r="J1863" t="s">
        <v>2</v>
      </c>
      <c r="K1863" s="1">
        <v>38221</v>
      </c>
      <c r="L1863" t="s">
        <v>13</v>
      </c>
      <c r="M1863" s="3">
        <v>-6</v>
      </c>
      <c r="N1863" s="2">
        <v>-16.589394597675682</v>
      </c>
    </row>
    <row r="1864" spans="9:14" x14ac:dyDescent="0.15">
      <c r="I1864">
        <v>1860</v>
      </c>
      <c r="J1864" t="s">
        <v>5</v>
      </c>
      <c r="K1864" s="1">
        <v>38210</v>
      </c>
      <c r="L1864" t="s">
        <v>10</v>
      </c>
      <c r="M1864" s="3">
        <v>-9</v>
      </c>
      <c r="N1864" s="2">
        <v>-24.760053633714985</v>
      </c>
    </row>
    <row r="1865" spans="9:14" x14ac:dyDescent="0.15">
      <c r="I1865">
        <v>1861</v>
      </c>
      <c r="J1865" t="s">
        <v>1</v>
      </c>
      <c r="K1865" s="1">
        <v>38793</v>
      </c>
      <c r="L1865" t="s">
        <v>11</v>
      </c>
      <c r="M1865" s="3">
        <v>74</v>
      </c>
      <c r="N1865" s="2">
        <v>223.82751177660725</v>
      </c>
    </row>
    <row r="1866" spans="9:14" x14ac:dyDescent="0.15">
      <c r="I1866">
        <v>1862</v>
      </c>
      <c r="J1866" t="s">
        <v>3</v>
      </c>
      <c r="K1866" s="1">
        <v>38694</v>
      </c>
      <c r="L1866" t="s">
        <v>10</v>
      </c>
      <c r="M1866" s="3">
        <v>18</v>
      </c>
      <c r="N1866" s="2">
        <v>55.524146786750528</v>
      </c>
    </row>
    <row r="1867" spans="9:14" x14ac:dyDescent="0.15">
      <c r="I1867">
        <v>1863</v>
      </c>
      <c r="J1867" t="s">
        <v>4</v>
      </c>
      <c r="K1867" s="1">
        <v>38782</v>
      </c>
      <c r="L1867" t="s">
        <v>11</v>
      </c>
      <c r="M1867" s="3">
        <v>73</v>
      </c>
      <c r="N1867" s="2">
        <v>220.67063477706461</v>
      </c>
    </row>
    <row r="1868" spans="9:14" x14ac:dyDescent="0.15">
      <c r="I1868">
        <v>1864</v>
      </c>
      <c r="J1868" t="s">
        <v>5</v>
      </c>
      <c r="K1868" s="1">
        <v>38331</v>
      </c>
      <c r="L1868" t="s">
        <v>11</v>
      </c>
      <c r="M1868" s="3">
        <v>62</v>
      </c>
      <c r="N1868" s="2">
        <v>188.42678187961798</v>
      </c>
    </row>
    <row r="1869" spans="9:14" x14ac:dyDescent="0.15">
      <c r="I1869">
        <v>1865</v>
      </c>
      <c r="J1869" t="s">
        <v>2</v>
      </c>
      <c r="K1869" s="1">
        <v>38903</v>
      </c>
      <c r="L1869" t="s">
        <v>9</v>
      </c>
      <c r="M1869" s="3">
        <v>-2</v>
      </c>
      <c r="N1869" s="2">
        <v>-3.5924377444896751</v>
      </c>
    </row>
    <row r="1870" spans="9:14" x14ac:dyDescent="0.15">
      <c r="I1870">
        <v>1866</v>
      </c>
      <c r="J1870" t="s">
        <v>1</v>
      </c>
      <c r="K1870" s="1">
        <v>38991</v>
      </c>
      <c r="L1870" t="s">
        <v>9</v>
      </c>
      <c r="M1870" s="3">
        <v>-7</v>
      </c>
      <c r="N1870" s="2">
        <v>-18.939063444337712</v>
      </c>
    </row>
    <row r="1871" spans="9:14" x14ac:dyDescent="0.15">
      <c r="I1871">
        <v>1867</v>
      </c>
      <c r="J1871" t="s">
        <v>1</v>
      </c>
      <c r="K1871" s="1">
        <v>38947</v>
      </c>
      <c r="L1871" t="s">
        <v>12</v>
      </c>
      <c r="M1871" s="3">
        <v>73</v>
      </c>
      <c r="N1871" s="2">
        <v>220.77421208293487</v>
      </c>
    </row>
    <row r="1872" spans="9:14" x14ac:dyDescent="0.15">
      <c r="I1872">
        <v>1868</v>
      </c>
      <c r="J1872" t="s">
        <v>3</v>
      </c>
      <c r="K1872" s="1">
        <v>38452</v>
      </c>
      <c r="L1872" t="s">
        <v>11</v>
      </c>
      <c r="M1872" s="3">
        <v>24</v>
      </c>
      <c r="N1872" s="2">
        <v>73.585989082063819</v>
      </c>
    </row>
    <row r="1873" spans="9:14" x14ac:dyDescent="0.15">
      <c r="I1873">
        <v>1869</v>
      </c>
      <c r="J1873" t="s">
        <v>8</v>
      </c>
      <c r="K1873" s="1">
        <v>38628</v>
      </c>
      <c r="L1873" t="s">
        <v>13</v>
      </c>
      <c r="M1873" s="3">
        <v>18</v>
      </c>
      <c r="N1873" s="2">
        <v>56.084454934208836</v>
      </c>
    </row>
    <row r="1874" spans="9:14" x14ac:dyDescent="0.15">
      <c r="I1874">
        <v>1870</v>
      </c>
      <c r="J1874" t="s">
        <v>3</v>
      </c>
      <c r="K1874" s="1">
        <v>39046</v>
      </c>
      <c r="L1874" t="s">
        <v>12</v>
      </c>
      <c r="M1874" s="3">
        <v>49</v>
      </c>
      <c r="N1874" s="2">
        <v>149.40493820151829</v>
      </c>
    </row>
    <row r="1875" spans="9:14" x14ac:dyDescent="0.15">
      <c r="I1875">
        <v>1871</v>
      </c>
      <c r="J1875" t="s">
        <v>7</v>
      </c>
      <c r="K1875" s="1">
        <v>38353</v>
      </c>
      <c r="L1875" t="s">
        <v>12</v>
      </c>
      <c r="M1875" s="3">
        <v>21</v>
      </c>
      <c r="N1875" s="2">
        <v>64.683872648507389</v>
      </c>
    </row>
    <row r="1876" spans="9:14" x14ac:dyDescent="0.15">
      <c r="I1876">
        <v>1872</v>
      </c>
      <c r="J1876" t="s">
        <v>2</v>
      </c>
      <c r="K1876" s="1">
        <v>38122</v>
      </c>
      <c r="L1876" t="s">
        <v>9</v>
      </c>
      <c r="M1876" s="3">
        <v>2</v>
      </c>
      <c r="N1876" s="2">
        <v>7.9938401735771141</v>
      </c>
    </row>
    <row r="1877" spans="9:14" x14ac:dyDescent="0.15">
      <c r="I1877">
        <v>1873</v>
      </c>
      <c r="J1877" t="s">
        <v>7</v>
      </c>
      <c r="K1877" s="1">
        <v>38309</v>
      </c>
      <c r="L1877" t="s">
        <v>9</v>
      </c>
      <c r="M1877" s="3">
        <v>83</v>
      </c>
      <c r="N1877" s="2">
        <v>250.87539350545751</v>
      </c>
    </row>
    <row r="1878" spans="9:14" x14ac:dyDescent="0.15">
      <c r="I1878">
        <v>1874</v>
      </c>
      <c r="J1878" t="s">
        <v>2</v>
      </c>
      <c r="K1878" s="1">
        <v>38353</v>
      </c>
      <c r="L1878" t="s">
        <v>10</v>
      </c>
      <c r="M1878" s="3">
        <v>63</v>
      </c>
      <c r="N1878" s="2">
        <v>191.14760672109483</v>
      </c>
    </row>
    <row r="1879" spans="9:14" x14ac:dyDescent="0.15">
      <c r="I1879">
        <v>1875</v>
      </c>
      <c r="J1879" t="s">
        <v>1</v>
      </c>
      <c r="K1879" s="1">
        <v>38045</v>
      </c>
      <c r="L1879" t="s">
        <v>13</v>
      </c>
      <c r="M1879" s="3">
        <v>54</v>
      </c>
      <c r="N1879" s="2">
        <v>163.86628539020685</v>
      </c>
    </row>
    <row r="1880" spans="9:14" x14ac:dyDescent="0.15">
      <c r="I1880">
        <v>1876</v>
      </c>
      <c r="J1880" t="s">
        <v>2</v>
      </c>
      <c r="K1880" s="1">
        <v>38243</v>
      </c>
      <c r="L1880" t="s">
        <v>10</v>
      </c>
      <c r="M1880" s="3">
        <v>19</v>
      </c>
      <c r="N1880" s="2">
        <v>59.715260847522721</v>
      </c>
    </row>
    <row r="1881" spans="9:14" x14ac:dyDescent="0.15">
      <c r="I1881">
        <v>1877</v>
      </c>
      <c r="J1881" t="s">
        <v>7</v>
      </c>
      <c r="K1881" s="1">
        <v>38243</v>
      </c>
      <c r="L1881" t="s">
        <v>11</v>
      </c>
      <c r="M1881" s="3">
        <v>66</v>
      </c>
      <c r="N1881" s="2">
        <v>199.3615971018873</v>
      </c>
    </row>
    <row r="1882" spans="9:14" x14ac:dyDescent="0.15">
      <c r="I1882">
        <v>1878</v>
      </c>
      <c r="J1882" t="s">
        <v>8</v>
      </c>
      <c r="K1882" s="1">
        <v>38133</v>
      </c>
      <c r="L1882" t="s">
        <v>10</v>
      </c>
      <c r="M1882" s="3">
        <v>60</v>
      </c>
      <c r="N1882" s="2">
        <v>182.28071376505659</v>
      </c>
    </row>
    <row r="1883" spans="9:14" x14ac:dyDescent="0.15">
      <c r="I1883">
        <v>1879</v>
      </c>
      <c r="J1883" t="s">
        <v>6</v>
      </c>
      <c r="K1883" s="1">
        <v>38947</v>
      </c>
      <c r="L1883" t="s">
        <v>11</v>
      </c>
      <c r="M1883" s="3">
        <v>90</v>
      </c>
      <c r="N1883" s="2">
        <v>271.85208039455387</v>
      </c>
    </row>
    <row r="1884" spans="9:14" x14ac:dyDescent="0.15">
      <c r="I1884">
        <v>1880</v>
      </c>
      <c r="J1884" t="s">
        <v>5</v>
      </c>
      <c r="K1884" s="1">
        <v>39068</v>
      </c>
      <c r="L1884" t="s">
        <v>10</v>
      </c>
      <c r="M1884" s="3">
        <v>59</v>
      </c>
      <c r="N1884" s="2">
        <v>178.65030230399057</v>
      </c>
    </row>
    <row r="1885" spans="9:14" x14ac:dyDescent="0.15">
      <c r="I1885">
        <v>1881</v>
      </c>
      <c r="J1885" t="s">
        <v>5</v>
      </c>
      <c r="K1885" s="1">
        <v>38628</v>
      </c>
      <c r="L1885" t="s">
        <v>9</v>
      </c>
      <c r="M1885" s="3">
        <v>0</v>
      </c>
      <c r="N1885" s="2">
        <v>2.6560689007562872</v>
      </c>
    </row>
    <row r="1886" spans="9:14" x14ac:dyDescent="0.15">
      <c r="I1886">
        <v>1882</v>
      </c>
      <c r="J1886" t="s">
        <v>0</v>
      </c>
      <c r="K1886" s="1">
        <v>38067</v>
      </c>
      <c r="L1886" t="s">
        <v>9</v>
      </c>
      <c r="M1886" s="3">
        <v>72</v>
      </c>
      <c r="N1886" s="2">
        <v>217.90015045055327</v>
      </c>
    </row>
    <row r="1887" spans="9:14" x14ac:dyDescent="0.15">
      <c r="I1887">
        <v>1883</v>
      </c>
      <c r="J1887" t="s">
        <v>8</v>
      </c>
      <c r="K1887" s="1">
        <v>38188</v>
      </c>
      <c r="L1887" t="s">
        <v>10</v>
      </c>
      <c r="M1887" s="3">
        <v>-6</v>
      </c>
      <c r="N1887" s="2">
        <v>-15.735959690520316</v>
      </c>
    </row>
    <row r="1888" spans="9:14" x14ac:dyDescent="0.15">
      <c r="I1888">
        <v>1884</v>
      </c>
      <c r="J1888" t="s">
        <v>3</v>
      </c>
      <c r="K1888" s="1">
        <v>38859</v>
      </c>
      <c r="L1888" t="s">
        <v>10</v>
      </c>
      <c r="M1888" s="3">
        <v>89</v>
      </c>
      <c r="N1888" s="2">
        <v>269.39552816852074</v>
      </c>
    </row>
    <row r="1889" spans="9:14" x14ac:dyDescent="0.15">
      <c r="I1889">
        <v>1885</v>
      </c>
      <c r="J1889" t="s">
        <v>6</v>
      </c>
      <c r="K1889" s="1">
        <v>38848</v>
      </c>
      <c r="L1889" t="s">
        <v>10</v>
      </c>
      <c r="M1889" s="3">
        <v>12</v>
      </c>
      <c r="N1889" s="2">
        <v>37.837711255972984</v>
      </c>
    </row>
    <row r="1890" spans="9:14" x14ac:dyDescent="0.15">
      <c r="I1890">
        <v>1886</v>
      </c>
      <c r="J1890" t="s">
        <v>1</v>
      </c>
      <c r="K1890" s="1">
        <v>38573</v>
      </c>
      <c r="L1890" t="s">
        <v>12</v>
      </c>
      <c r="M1890" s="3">
        <v>89</v>
      </c>
      <c r="N1890" s="2">
        <v>269.14754282019447</v>
      </c>
    </row>
    <row r="1891" spans="9:14" x14ac:dyDescent="0.15">
      <c r="I1891">
        <v>1887</v>
      </c>
      <c r="J1891" t="s">
        <v>4</v>
      </c>
      <c r="K1891" s="1">
        <v>38463</v>
      </c>
      <c r="L1891" t="s">
        <v>10</v>
      </c>
      <c r="M1891" s="3">
        <v>61</v>
      </c>
      <c r="N1891" s="2">
        <v>185.3147883164014</v>
      </c>
    </row>
    <row r="1892" spans="9:14" x14ac:dyDescent="0.15">
      <c r="I1892">
        <v>1888</v>
      </c>
      <c r="J1892" t="s">
        <v>2</v>
      </c>
      <c r="K1892" s="1">
        <v>38551</v>
      </c>
      <c r="L1892" t="s">
        <v>11</v>
      </c>
      <c r="M1892" s="3">
        <v>24</v>
      </c>
      <c r="N1892" s="2">
        <v>73.811151860326262</v>
      </c>
    </row>
    <row r="1893" spans="9:14" x14ac:dyDescent="0.15">
      <c r="I1893">
        <v>1889</v>
      </c>
      <c r="J1893" t="s">
        <v>5</v>
      </c>
      <c r="K1893" s="1">
        <v>39046</v>
      </c>
      <c r="L1893" t="s">
        <v>11</v>
      </c>
      <c r="M1893" s="3">
        <v>76</v>
      </c>
      <c r="N1893" s="2">
        <v>229.9178081264337</v>
      </c>
    </row>
    <row r="1894" spans="9:14" x14ac:dyDescent="0.15">
      <c r="I1894">
        <v>1890</v>
      </c>
      <c r="J1894" t="s">
        <v>7</v>
      </c>
      <c r="K1894" s="1">
        <v>38518</v>
      </c>
      <c r="L1894" t="s">
        <v>9</v>
      </c>
      <c r="M1894" s="3">
        <v>16</v>
      </c>
      <c r="N1894" s="2">
        <v>49.753987400329763</v>
      </c>
    </row>
    <row r="1895" spans="9:14" x14ac:dyDescent="0.15">
      <c r="I1895">
        <v>1891</v>
      </c>
      <c r="J1895" t="s">
        <v>8</v>
      </c>
      <c r="K1895" s="1">
        <v>38452</v>
      </c>
      <c r="L1895" t="s">
        <v>9</v>
      </c>
      <c r="M1895" s="3">
        <v>39</v>
      </c>
      <c r="N1895" s="2">
        <v>119.18883187506967</v>
      </c>
    </row>
    <row r="1896" spans="9:14" x14ac:dyDescent="0.15">
      <c r="I1896">
        <v>1892</v>
      </c>
      <c r="J1896" t="s">
        <v>7</v>
      </c>
      <c r="K1896" s="1">
        <v>38771</v>
      </c>
      <c r="L1896" t="s">
        <v>12</v>
      </c>
      <c r="M1896" s="3">
        <v>92</v>
      </c>
      <c r="N1896" s="2">
        <v>278.43491112447333</v>
      </c>
    </row>
    <row r="1897" spans="9:14" x14ac:dyDescent="0.15">
      <c r="I1897">
        <v>1893</v>
      </c>
      <c r="J1897" t="s">
        <v>7</v>
      </c>
      <c r="K1897" s="1">
        <v>38199</v>
      </c>
      <c r="L1897" t="s">
        <v>9</v>
      </c>
      <c r="M1897" s="3">
        <v>20</v>
      </c>
      <c r="N1897" s="2">
        <v>61.923857472779041</v>
      </c>
    </row>
    <row r="1898" spans="9:14" x14ac:dyDescent="0.15">
      <c r="I1898">
        <v>1894</v>
      </c>
      <c r="J1898" t="s">
        <v>2</v>
      </c>
      <c r="K1898" s="1">
        <v>38122</v>
      </c>
      <c r="L1898" t="s">
        <v>10</v>
      </c>
      <c r="M1898" s="3">
        <v>60</v>
      </c>
      <c r="N1898" s="2">
        <v>181.87034788891373</v>
      </c>
    </row>
    <row r="1899" spans="9:14" x14ac:dyDescent="0.15">
      <c r="I1899">
        <v>1895</v>
      </c>
      <c r="J1899" t="s">
        <v>5</v>
      </c>
      <c r="K1899" s="1">
        <v>38683</v>
      </c>
      <c r="L1899" t="s">
        <v>11</v>
      </c>
      <c r="M1899" s="3">
        <v>15</v>
      </c>
      <c r="N1899" s="2">
        <v>47.161022333179389</v>
      </c>
    </row>
    <row r="1900" spans="9:14" x14ac:dyDescent="0.15">
      <c r="I1900">
        <v>1896</v>
      </c>
      <c r="J1900" t="s">
        <v>6</v>
      </c>
      <c r="K1900" s="1">
        <v>38397</v>
      </c>
      <c r="L1900" t="s">
        <v>9</v>
      </c>
      <c r="M1900" s="3">
        <v>36</v>
      </c>
      <c r="N1900" s="2">
        <v>109.84259915039922</v>
      </c>
    </row>
    <row r="1901" spans="9:14" x14ac:dyDescent="0.15">
      <c r="I1901">
        <v>1897</v>
      </c>
      <c r="J1901" t="s">
        <v>2</v>
      </c>
      <c r="K1901" s="1">
        <v>38661</v>
      </c>
      <c r="L1901" t="s">
        <v>10</v>
      </c>
      <c r="M1901" s="3">
        <v>46</v>
      </c>
      <c r="N1901" s="2">
        <v>140.4088993575123</v>
      </c>
    </row>
    <row r="1902" spans="9:14" x14ac:dyDescent="0.15">
      <c r="I1902">
        <v>1898</v>
      </c>
      <c r="J1902" t="s">
        <v>4</v>
      </c>
      <c r="K1902" s="1">
        <v>38001</v>
      </c>
      <c r="L1902" t="s">
        <v>13</v>
      </c>
      <c r="M1902" s="3">
        <v>72</v>
      </c>
      <c r="N1902" s="2">
        <v>217.83588624347365</v>
      </c>
    </row>
    <row r="1903" spans="9:14" x14ac:dyDescent="0.15">
      <c r="I1903">
        <v>1899</v>
      </c>
      <c r="J1903" t="s">
        <v>3</v>
      </c>
      <c r="K1903" s="1">
        <v>39024</v>
      </c>
      <c r="L1903" t="s">
        <v>11</v>
      </c>
      <c r="M1903" s="3">
        <v>28</v>
      </c>
      <c r="N1903" s="2">
        <v>85.656829526557672</v>
      </c>
    </row>
    <row r="1904" spans="9:14" x14ac:dyDescent="0.15">
      <c r="I1904">
        <v>1900</v>
      </c>
      <c r="J1904" t="s">
        <v>1</v>
      </c>
      <c r="K1904" s="1">
        <v>38881</v>
      </c>
      <c r="L1904" t="s">
        <v>11</v>
      </c>
      <c r="M1904" s="3">
        <v>54</v>
      </c>
      <c r="N1904" s="2">
        <v>164.48733423141368</v>
      </c>
    </row>
  </sheetData>
  <phoneticPr fontId="0" type="noConversion"/>
  <printOptions headings="1" gridLines="1"/>
  <pageMargins left="0.75" right="0.75" top="1" bottom="1" header="0.5" footer="0.5"/>
  <pageSetup scale="10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>
  <documentManagement>
    <Used_x0020_in_x0020_Chapter xmlns="d1607db4-bd3f-4f82-a312-bf7e283d0a6b">true</Used_x0020_in_x0020_Chapter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F8E4BBD310ADB419B3C5F1ACE4D113D" ma:contentTypeVersion="1" ma:contentTypeDescription="Create a new document." ma:contentTypeScope="" ma:versionID="63e1bd94a874076348984a0131457edc">
  <xsd:schema xmlns:xsd="http://www.w3.org/2001/XMLSchema" xmlns:p="http://schemas.microsoft.com/office/2006/metadata/properties" xmlns:ns2="d1607db4-bd3f-4f82-a312-bf7e283d0a6b" targetNamespace="http://schemas.microsoft.com/office/2006/metadata/properties" ma:root="true" ma:fieldsID="7c9989741aedae2f07a76d9f40ef2a18" ns2:_="">
    <xsd:import namespace="d1607db4-bd3f-4f82-a312-bf7e283d0a6b"/>
    <xsd:element name="properties">
      <xsd:complexType>
        <xsd:sequence>
          <xsd:element name="documentManagement">
            <xsd:complexType>
              <xsd:all>
                <xsd:element ref="ns2:Used_x0020_in_x0020_Chapter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d1607db4-bd3f-4f82-a312-bf7e283d0a6b" elementFormDefault="qualified">
    <xsd:import namespace="http://schemas.microsoft.com/office/2006/documentManagement/types"/>
    <xsd:element name="Used_x0020_in_x0020_Chapter" ma:index="8" nillable="true" ma:displayName="Used in Chapter" ma:default="1" ma:internalName="Used_x0020_in_x0020_Chapter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Props1.xml><?xml version="1.0" encoding="utf-8"?>
<ds:datastoreItem xmlns:ds="http://schemas.openxmlformats.org/officeDocument/2006/customXml" ds:itemID="{53CCC514-1B7C-4183-B3C4-EC530F727060}">
  <ds:schemaRefs>
    <ds:schemaRef ds:uri="http://schemas.microsoft.com/office/2006/metadata/properties"/>
    <ds:schemaRef ds:uri="d1607db4-bd3f-4f82-a312-bf7e283d0a6b"/>
  </ds:schemaRefs>
</ds:datastoreItem>
</file>

<file path=customXml/itemProps2.xml><?xml version="1.0" encoding="utf-8"?>
<ds:datastoreItem xmlns:ds="http://schemas.openxmlformats.org/officeDocument/2006/customXml" ds:itemID="{9618E76B-EA54-4786-9172-50BD5CBBB1C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864ED33-19CE-4767-BD3B-DBCC49D9683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1607db4-bd3f-4f82-a312-bf7e283d0a6b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Macintosh Excel</Application>
  <DocSecurity>0</DocSecurity>
  <PresentationFormat/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7</vt:i4>
      </vt:variant>
    </vt:vector>
  </HeadingPairs>
  <TitlesOfParts>
    <vt:vector size="8" baseType="lpstr">
      <vt:lpstr>data</vt:lpstr>
      <vt:lpstr>data</vt:lpstr>
      <vt:lpstr>Date</vt:lpstr>
      <vt:lpstr>Dollars</vt:lpstr>
      <vt:lpstr>Name</vt:lpstr>
      <vt:lpstr>Product</vt:lpstr>
      <vt:lpstr>Trans_Number</vt:lpstr>
      <vt:lpstr>Units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Vivian</dc:creator>
  <cp:lastModifiedBy>Famitha Kadhar Basha</cp:lastModifiedBy>
  <cp:revision/>
  <dcterms:created xsi:type="dcterms:W3CDTF">2007-02-23T16:57:34Z</dcterms:created>
  <dcterms:modified xsi:type="dcterms:W3CDTF">2026-10-26T12:14:55Z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0x010100AF8E4BBD310ADB419B3C5F1ACE4D113D</vt:lpwstr>
  </property>
</Properties>
</file>