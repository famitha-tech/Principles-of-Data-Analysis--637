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DECF6ECF-9229-694A-A5E7-A3E35E68ADE9}" xr6:coauthVersionLast="47" xr6:coauthVersionMax="47" xr10:uidLastSave="{00000000-0000-0000-0000-000000000000}"/>
  <bookViews>
    <workbookView xWindow="0" yWindow="600" windowWidth="27400" windowHeight="155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tocks">Sheet1!$C$8:$C$81</definedName>
    <definedName name="T.Bills">Sheet1!$D$8:$D$81</definedName>
    <definedName name="T.Bonds">Sheet1!$E$8:$E$81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6" i="1"/>
  <c r="L7" i="1"/>
  <c r="L8" i="1"/>
  <c r="L9" i="1"/>
  <c r="L10" i="1"/>
  <c r="L11" i="1"/>
  <c r="L12" i="1"/>
  <c r="L13" i="1"/>
  <c r="L28" i="1" s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6" i="1"/>
  <c r="K7" i="1"/>
  <c r="K8" i="1"/>
  <c r="K9" i="1"/>
  <c r="K10" i="1"/>
  <c r="K11" i="1"/>
  <c r="K12" i="1"/>
  <c r="K13" i="1"/>
  <c r="K28" i="1" s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6" i="1"/>
  <c r="H7" i="1"/>
  <c r="H6" i="1"/>
  <c r="D86" i="1"/>
  <c r="E86" i="1"/>
  <c r="C86" i="1"/>
  <c r="K29" i="1"/>
  <c r="L29" i="1"/>
  <c r="J29" i="1"/>
  <c r="L5" i="1"/>
  <c r="K5" i="1"/>
  <c r="J5" i="1"/>
  <c r="J28" i="1" l="1"/>
  <c r="E84" i="1"/>
  <c r="D84" i="1"/>
  <c r="C84" i="1"/>
</calcChain>
</file>

<file path=xl/sharedStrings.xml><?xml version="1.0" encoding="utf-8"?>
<sst xmlns="http://schemas.openxmlformats.org/spreadsheetml/2006/main" count="37" uniqueCount="37">
  <si>
    <t>Annual Returns on Investments in</t>
  </si>
  <si>
    <t>Year</t>
  </si>
  <si>
    <t>Stocks</t>
  </si>
  <si>
    <t>T.Bills</t>
  </si>
  <si>
    <t>T.Bonds</t>
  </si>
  <si>
    <t>averages</t>
  </si>
  <si>
    <t>stocks</t>
  </si>
  <si>
    <t>tbills</t>
  </si>
  <si>
    <t>bonds</t>
  </si>
  <si>
    <t>Return Interval</t>
  </si>
  <si>
    <t>-20% to -15%</t>
  </si>
  <si>
    <t>-15% to -10%</t>
  </si>
  <si>
    <t>-5% to 0%</t>
  </si>
  <si>
    <t>0% to 5%</t>
  </si>
  <si>
    <t>5% to 10%</t>
  </si>
  <si>
    <t>10% to 15%</t>
  </si>
  <si>
    <t>15% to 20%</t>
  </si>
  <si>
    <t>-10% to -5%</t>
  </si>
  <si>
    <t>Count of Stocks Years</t>
  </si>
  <si>
    <t>-25% to -20%</t>
  </si>
  <si>
    <t>-30% to -25%</t>
  </si>
  <si>
    <t>-35% to -30%</t>
  </si>
  <si>
    <t>-40% to -35%</t>
  </si>
  <si>
    <t>-45% to -40%</t>
  </si>
  <si>
    <t>-50% to -45%</t>
  </si>
  <si>
    <t>20% to 25%</t>
  </si>
  <si>
    <t>25% to 30%</t>
  </si>
  <si>
    <t>30% to 35%</t>
  </si>
  <si>
    <t>35% to 40%</t>
  </si>
  <si>
    <t>40% to 45%</t>
  </si>
  <si>
    <t>45% to 50%</t>
  </si>
  <si>
    <t>50% to 55%</t>
  </si>
  <si>
    <t>Count of T.Bills Years</t>
  </si>
  <si>
    <t>Lower Limit</t>
  </si>
  <si>
    <t>Upper Limit</t>
  </si>
  <si>
    <t>Count of T.Bonds years</t>
  </si>
  <si>
    <t>Total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</si>
</sst>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quotePrefix="1" applyFont="1"/>
    <xf numFmtId="164" fontId="1" fillId="0" borderId="0" xfId="0" quotePrefix="1" applyNumberFormat="1" applyFont="1"/>
    <xf numFmtId="1" fontId="0" fillId="0" borderId="0" xfId="0" applyNumberFormat="1"/>
    <xf numFmtId="0" fontId="2" fillId="0" borderId="0" xfId="0" applyFont="1"/>
    <xf numFmtId="0" fontId="0" fillId="2" borderId="0" xfId="0" applyFill="1" applyAlignment="1">
      <alignment wrapText="1"/>
    </xf>
    <xf numFmtId="9" fontId="0" fillId="0" borderId="0" xfId="0" applyNumberFormat="1"/>
    <xf numFmtId="164" fontId="2" fillId="0" borderId="0" xfId="0" applyNumberFormat="1" applyFont="1"/>
    <xf numFmtId="1" fontId="0" fillId="2" borderId="0" xfId="0" applyNumberFormat="1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L154"/>
  <sheetViews>
    <sheetView tabSelected="1" topLeftCell="C1" zoomScale="120" zoomScaleNormal="120" workbookViewId="0">
      <selection activeCell="C86" sqref="C86:E86"/>
    </sheetView>
  </sheetViews>
  <sheetFormatPr baseColWidth="10" defaultColWidth="8.83203125" defaultRowHeight="13" x14ac:dyDescent="0.15"/>
  <cols>
    <col min="2" max="2" width="19.33203125" customWidth="1"/>
    <col min="3" max="3" width="29.1640625" bestFit="1" customWidth="1"/>
    <col min="4" max="4" width="16" bestFit="1" customWidth="1"/>
    <col min="5" max="5" width="18.1640625" bestFit="1" customWidth="1"/>
    <col min="6" max="6" width="10.6640625" customWidth="1"/>
    <col min="7" max="8" width="9.83203125" bestFit="1" customWidth="1"/>
    <col min="9" max="9" width="12.5" bestFit="1" customWidth="1"/>
    <col min="10" max="10" width="20.1640625" customWidth="1"/>
    <col min="11" max="11" width="18.83203125" customWidth="1"/>
    <col min="12" max="12" width="19.6640625" bestFit="1" customWidth="1"/>
  </cols>
  <sheetData>
    <row r="4" spans="2:12" x14ac:dyDescent="0.15">
      <c r="I4" s="7" t="s">
        <v>9</v>
      </c>
      <c r="J4" s="7" t="s">
        <v>18</v>
      </c>
      <c r="K4" s="7" t="s">
        <v>32</v>
      </c>
      <c r="L4" s="7" t="s">
        <v>35</v>
      </c>
    </row>
    <row r="5" spans="2:12" ht="34" customHeight="1" x14ac:dyDescent="0.15">
      <c r="G5" s="7" t="s">
        <v>33</v>
      </c>
      <c r="H5" s="7" t="s">
        <v>34</v>
      </c>
      <c r="J5" s="8" t="str">
        <f ca="1">_xlfn.FORMULATEXT(J6)</f>
        <v>=COUNTIFS(Stocks,"&gt;="&amp;$G6,Stocks,"&lt;"&amp;$H6)</v>
      </c>
      <c r="K5" s="8" t="str">
        <f ca="1">_xlfn.FORMULATEXT(K6)</f>
        <v>=COUNTIFS(T.Bills,"&gt;="&amp;$G6,T.Bills,"&lt;"&amp;$H6)</v>
      </c>
      <c r="L5" s="8" t="str">
        <f ca="1">_xlfn.FORMULATEXT(L6)</f>
        <v>=COUNTIFS(T.Bonds,"&gt;="&amp;$G6,T.Bonds,"&lt;"&amp;H6)</v>
      </c>
    </row>
    <row r="6" spans="2:12" x14ac:dyDescent="0.15">
      <c r="C6" s="7" t="s">
        <v>0</v>
      </c>
      <c r="D6" s="7"/>
      <c r="E6" s="7"/>
      <c r="G6" s="9">
        <v>-0.5</v>
      </c>
      <c r="H6" s="9">
        <f>-45%</f>
        <v>-0.45</v>
      </c>
      <c r="I6" s="4" t="s">
        <v>24</v>
      </c>
      <c r="J6" s="6">
        <f>COUNTIFS(Stocks,"&gt;="&amp;$G6,Stocks,"&lt;"&amp;$H6)</f>
        <v>0</v>
      </c>
      <c r="K6">
        <f>COUNTIFS(T.Bills,"&gt;="&amp;$G6,T.Bills,"&lt;"&amp;$H6)</f>
        <v>0</v>
      </c>
      <c r="L6">
        <f>COUNTIFS(T.Bonds,"&gt;="&amp;$G6,T.Bonds,"&lt;"&amp;H6)</f>
        <v>0</v>
      </c>
    </row>
    <row r="7" spans="2:12" x14ac:dyDescent="0.15">
      <c r="B7" t="s">
        <v>1</v>
      </c>
      <c r="C7" s="7" t="s">
        <v>2</v>
      </c>
      <c r="D7" s="7" t="s">
        <v>3</v>
      </c>
      <c r="E7" s="7" t="s">
        <v>4</v>
      </c>
      <c r="G7" s="9">
        <v>-0.45</v>
      </c>
      <c r="H7" s="9">
        <f>-40%</f>
        <v>-0.4</v>
      </c>
      <c r="I7" s="4" t="s">
        <v>23</v>
      </c>
      <c r="J7" s="6">
        <f>COUNTIFS(Stocks,"&gt;="&amp;$G7,Stocks,"&lt;"&amp;$H7)</f>
        <v>1</v>
      </c>
      <c r="K7">
        <f>COUNTIFS(T.Bills,"&gt;="&amp;$G7,T.Bills,"&lt;"&amp;$H7)</f>
        <v>0</v>
      </c>
      <c r="L7">
        <f>COUNTIFS(T.Bonds,"&gt;="&amp;$G7,T.Bonds,"&lt;"&amp;H7)</f>
        <v>0</v>
      </c>
    </row>
    <row r="8" spans="2:12" x14ac:dyDescent="0.15">
      <c r="B8">
        <v>1928</v>
      </c>
      <c r="C8" s="1">
        <v>0.43809999999999999</v>
      </c>
      <c r="D8" s="1">
        <v>3.0800000000000001E-2</v>
      </c>
      <c r="E8" s="1">
        <v>8.3999999999999995E-3</v>
      </c>
      <c r="F8" s="2"/>
      <c r="G8" s="9">
        <v>-0.4</v>
      </c>
      <c r="H8" s="9">
        <v>-0.35</v>
      </c>
      <c r="I8" s="4" t="s">
        <v>22</v>
      </c>
      <c r="J8" s="6">
        <f>COUNTIFS(Stocks,"&gt;="&amp;$G8,Stocks,"&lt;"&amp;$H8)</f>
        <v>1</v>
      </c>
      <c r="K8">
        <f>COUNTIFS(T.Bills,"&gt;="&amp;$G8,T.Bills,"&lt;"&amp;$H8)</f>
        <v>0</v>
      </c>
      <c r="L8">
        <f>COUNTIFS(T.Bonds,"&gt;="&amp;$G8,T.Bonds,"&lt;"&amp;H8)</f>
        <v>0</v>
      </c>
    </row>
    <row r="9" spans="2:12" x14ac:dyDescent="0.15">
      <c r="B9">
        <v>1929</v>
      </c>
      <c r="C9" s="1">
        <v>-8.3000000000000004E-2</v>
      </c>
      <c r="D9" s="1">
        <v>3.1600000000000003E-2</v>
      </c>
      <c r="E9" s="1">
        <v>4.2000000000000003E-2</v>
      </c>
      <c r="F9" s="2"/>
      <c r="G9" s="9">
        <v>-0.35</v>
      </c>
      <c r="H9" s="9">
        <v>-0.3</v>
      </c>
      <c r="I9" s="4" t="s">
        <v>21</v>
      </c>
      <c r="J9" s="6">
        <f>COUNTIFS(Stocks,"&gt;="&amp;$G9,Stocks,"&lt;"&amp;$H9)</f>
        <v>0</v>
      </c>
      <c r="K9">
        <f>COUNTIFS(T.Bills,"&gt;="&amp;$G9,T.Bills,"&lt;"&amp;$H9)</f>
        <v>0</v>
      </c>
      <c r="L9">
        <f>COUNTIFS(T.Bonds,"&gt;="&amp;$G9,T.Bonds,"&lt;"&amp;H9)</f>
        <v>0</v>
      </c>
    </row>
    <row r="10" spans="2:12" x14ac:dyDescent="0.15">
      <c r="B10">
        <v>1930</v>
      </c>
      <c r="C10" s="1">
        <v>-0.25119999999999998</v>
      </c>
      <c r="D10" s="1">
        <v>4.5499999999999999E-2</v>
      </c>
      <c r="E10" s="1">
        <v>4.5400000000000003E-2</v>
      </c>
      <c r="F10" s="2"/>
      <c r="G10" s="9">
        <v>-0.3</v>
      </c>
      <c r="H10" s="9">
        <v>-0.25</v>
      </c>
      <c r="I10" s="5" t="s">
        <v>20</v>
      </c>
      <c r="J10" s="6">
        <f>COUNTIFS(Stocks,"&gt;="&amp;$G10,Stocks,"&lt;"&amp;$H10)</f>
        <v>2</v>
      </c>
      <c r="K10">
        <f>COUNTIFS(T.Bills,"&gt;="&amp;$G10,T.Bills,"&lt;"&amp;$H10)</f>
        <v>0</v>
      </c>
      <c r="L10">
        <f>COUNTIFS(T.Bonds,"&gt;="&amp;$G10,T.Bonds,"&lt;"&amp;H10)</f>
        <v>0</v>
      </c>
    </row>
    <row r="11" spans="2:12" x14ac:dyDescent="0.15">
      <c r="B11">
        <v>1931</v>
      </c>
      <c r="C11" s="1">
        <v>-0.43840000000000001</v>
      </c>
      <c r="D11" s="1">
        <v>2.3099999999999999E-2</v>
      </c>
      <c r="E11" s="1">
        <v>-2.5600000000000001E-2</v>
      </c>
      <c r="F11" s="2"/>
      <c r="G11" s="9">
        <v>-0.25</v>
      </c>
      <c r="H11" s="9">
        <v>-0.2</v>
      </c>
      <c r="I11" s="5" t="s">
        <v>19</v>
      </c>
      <c r="J11" s="6">
        <f>COUNTIFS(Stocks,"&gt;="&amp;$G11,Stocks,"&lt;"&amp;$H11)</f>
        <v>0</v>
      </c>
      <c r="K11">
        <f>COUNTIFS(T.Bills,"&gt;="&amp;$G11,T.Bills,"&lt;"&amp;$H11)</f>
        <v>0</v>
      </c>
      <c r="L11">
        <f>COUNTIFS(T.Bonds,"&gt;="&amp;$G11,T.Bonds,"&lt;"&amp;H11)</f>
        <v>0</v>
      </c>
    </row>
    <row r="12" spans="2:12" x14ac:dyDescent="0.15">
      <c r="B12">
        <v>1932</v>
      </c>
      <c r="C12" s="1">
        <v>-8.6400000000000005E-2</v>
      </c>
      <c r="D12" s="1">
        <v>1.0699999999999999E-2</v>
      </c>
      <c r="E12" s="1">
        <v>8.7900000000000006E-2</v>
      </c>
      <c r="F12" s="2"/>
      <c r="G12" s="9">
        <v>-0.2</v>
      </c>
      <c r="H12" s="9">
        <v>-0.15</v>
      </c>
      <c r="I12" s="4" t="s">
        <v>10</v>
      </c>
      <c r="J12" s="6">
        <f>COUNTIFS(Stocks,"&gt;="&amp;$G12,Stocks,"&lt;"&amp;$H12)</f>
        <v>0</v>
      </c>
      <c r="K12">
        <f>COUNTIFS(T.Bills,"&gt;="&amp;$G12,T.Bills,"&lt;"&amp;$H12)</f>
        <v>0</v>
      </c>
      <c r="L12">
        <f>COUNTIFS(T.Bonds,"&gt;="&amp;$G12,T.Bonds,"&lt;"&amp;H12)</f>
        <v>0</v>
      </c>
    </row>
    <row r="13" spans="2:12" x14ac:dyDescent="0.15">
      <c r="B13">
        <v>1933</v>
      </c>
      <c r="C13" s="1">
        <v>0.49980000000000002</v>
      </c>
      <c r="D13" s="1">
        <v>9.5999999999999992E-3</v>
      </c>
      <c r="E13" s="1">
        <v>1.8599999999999998E-2</v>
      </c>
      <c r="F13" s="2"/>
      <c r="G13" s="9">
        <v>-0.15</v>
      </c>
      <c r="H13" s="9">
        <v>-0.1</v>
      </c>
      <c r="I13" s="5" t="s">
        <v>11</v>
      </c>
      <c r="J13" s="6">
        <f>COUNTIFS(Stocks,"&gt;="&amp;$G13,Stocks,"&lt;"&amp;$H13)</f>
        <v>5</v>
      </c>
      <c r="K13">
        <f>COUNTIFS(T.Bills,"&gt;="&amp;$G13,T.Bills,"&lt;"&amp;$H13)</f>
        <v>0</v>
      </c>
      <c r="L13">
        <f>COUNTIFS(T.Bonds,"&gt;="&amp;$G13,T.Bonds,"&lt;"&amp;H13)</f>
        <v>0</v>
      </c>
    </row>
    <row r="14" spans="2:12" x14ac:dyDescent="0.15">
      <c r="B14">
        <v>1934</v>
      </c>
      <c r="C14" s="1">
        <v>-1.1900000000000001E-2</v>
      </c>
      <c r="D14" s="1">
        <v>3.0000000000000001E-3</v>
      </c>
      <c r="E14" s="1">
        <v>7.9600000000000004E-2</v>
      </c>
      <c r="F14" s="2"/>
      <c r="G14" s="9">
        <v>-0.1</v>
      </c>
      <c r="H14" s="9">
        <v>-0.05</v>
      </c>
      <c r="I14" s="5" t="s">
        <v>17</v>
      </c>
      <c r="J14" s="6">
        <f>COUNTIFS(Stocks,"&gt;="&amp;$G14,Stocks,"&lt;"&amp;$H14)</f>
        <v>8</v>
      </c>
      <c r="K14">
        <f>COUNTIFS(T.Bills,"&gt;="&amp;$G14,T.Bills,"&lt;"&amp;$H14)</f>
        <v>0</v>
      </c>
      <c r="L14">
        <f>COUNTIFS(T.Bonds,"&gt;="&amp;$G14,T.Bonds,"&lt;"&amp;H14)</f>
        <v>3</v>
      </c>
    </row>
    <row r="15" spans="2:12" x14ac:dyDescent="0.15">
      <c r="B15">
        <v>1935</v>
      </c>
      <c r="C15" s="1">
        <v>0.46739999999999998</v>
      </c>
      <c r="D15" s="1">
        <v>2.3E-3</v>
      </c>
      <c r="E15" s="1">
        <v>4.4699999999999997E-2</v>
      </c>
      <c r="F15" s="2"/>
      <c r="G15" s="9">
        <v>-0.05</v>
      </c>
      <c r="H15" s="9">
        <v>0</v>
      </c>
      <c r="I15" s="5" t="s">
        <v>12</v>
      </c>
      <c r="J15" s="6">
        <f>COUNTIFS(Stocks,"&gt;="&amp;$G15,Stocks,"&lt;"&amp;$H15)</f>
        <v>5</v>
      </c>
      <c r="K15">
        <f>COUNTIFS(T.Bills,"&gt;="&amp;$G15,T.Bills,"&lt;"&amp;$H15)</f>
        <v>0</v>
      </c>
      <c r="L15">
        <f>COUNTIFS(T.Bonds,"&gt;="&amp;$G15,T.Bonds,"&lt;"&amp;H15)</f>
        <v>11</v>
      </c>
    </row>
    <row r="16" spans="2:12" x14ac:dyDescent="0.15">
      <c r="B16">
        <v>1936</v>
      </c>
      <c r="C16" s="1">
        <v>0.31940000000000002</v>
      </c>
      <c r="D16" s="1">
        <v>1.5E-3</v>
      </c>
      <c r="E16" s="1">
        <v>5.0200000000000002E-2</v>
      </c>
      <c r="F16" s="2"/>
      <c r="G16" s="9">
        <v>0</v>
      </c>
      <c r="H16" s="9">
        <v>0.05</v>
      </c>
      <c r="I16" s="5" t="s">
        <v>13</v>
      </c>
      <c r="J16" s="6">
        <f>COUNTIFS(Stocks,"&gt;="&amp;$G16,Stocks,"&lt;"&amp;$H16)</f>
        <v>3</v>
      </c>
      <c r="K16">
        <f>COUNTIFS(T.Bills,"&gt;="&amp;$G16,T.Bills,"&lt;"&amp;$H16)</f>
        <v>49</v>
      </c>
      <c r="L16">
        <f>COUNTIFS(T.Bonds,"&gt;="&amp;$G16,T.Bonds,"&lt;"&amp;H16)</f>
        <v>34</v>
      </c>
    </row>
    <row r="17" spans="2:12" x14ac:dyDescent="0.15">
      <c r="B17">
        <v>1937</v>
      </c>
      <c r="C17" s="1">
        <v>-0.35339999999999999</v>
      </c>
      <c r="D17" s="1">
        <v>1.1999999999999999E-3</v>
      </c>
      <c r="E17" s="1">
        <v>1.38E-2</v>
      </c>
      <c r="F17" s="2"/>
      <c r="G17" s="9">
        <v>0.05</v>
      </c>
      <c r="H17" s="9">
        <v>0.1</v>
      </c>
      <c r="I17" s="5" t="s">
        <v>14</v>
      </c>
      <c r="J17" s="6">
        <f>COUNTIFS(Stocks,"&gt;="&amp;$G17,Stocks,"&lt;"&amp;$H17)</f>
        <v>8</v>
      </c>
      <c r="K17">
        <f>COUNTIFS(T.Bills,"&gt;="&amp;$G17,T.Bills,"&lt;"&amp;$H17)</f>
        <v>22</v>
      </c>
      <c r="L17">
        <f>COUNTIFS(T.Bonds,"&gt;="&amp;$G17,T.Bonds,"&lt;"&amp;H17)</f>
        <v>13</v>
      </c>
    </row>
    <row r="18" spans="2:12" x14ac:dyDescent="0.15">
      <c r="B18">
        <v>1938</v>
      </c>
      <c r="C18" s="1">
        <v>0.2928</v>
      </c>
      <c r="D18" s="1">
        <v>1.1000000000000001E-3</v>
      </c>
      <c r="E18" s="1">
        <v>4.2099999999999999E-2</v>
      </c>
      <c r="F18" s="2"/>
      <c r="G18" s="9">
        <v>0.1</v>
      </c>
      <c r="H18" s="9">
        <v>0.15</v>
      </c>
      <c r="I18" s="5" t="s">
        <v>15</v>
      </c>
      <c r="J18" s="6">
        <f>COUNTIFS(Stocks,"&gt;="&amp;$G18,Stocks,"&lt;"&amp;$H18)</f>
        <v>4</v>
      </c>
      <c r="K18">
        <f>COUNTIFS(T.Bills,"&gt;="&amp;$G18,T.Bills,"&lt;"&amp;$H18)</f>
        <v>2</v>
      </c>
      <c r="L18">
        <f>COUNTIFS(T.Bonds,"&gt;="&amp;$G18,T.Bonds,"&lt;"&amp;H18)</f>
        <v>4</v>
      </c>
    </row>
    <row r="19" spans="2:12" x14ac:dyDescent="0.15">
      <c r="B19">
        <v>1939</v>
      </c>
      <c r="C19" s="1">
        <v>-1.0999999999999999E-2</v>
      </c>
      <c r="D19" s="1">
        <v>2.9999999999999997E-4</v>
      </c>
      <c r="E19" s="1">
        <v>4.41E-2</v>
      </c>
      <c r="F19" s="2"/>
      <c r="G19" s="9">
        <v>0.15</v>
      </c>
      <c r="H19" s="9">
        <v>0.2</v>
      </c>
      <c r="I19" s="5" t="s">
        <v>16</v>
      </c>
      <c r="J19" s="6">
        <f>COUNTIFS(Stocks,"&gt;="&amp;$G19,Stocks,"&lt;"&amp;$H19)</f>
        <v>9</v>
      </c>
      <c r="K19">
        <f>COUNTIFS(T.Bills,"&gt;="&amp;$G19,T.Bills,"&lt;"&amp;$H19)</f>
        <v>1</v>
      </c>
      <c r="L19">
        <f>COUNTIFS(T.Bonds,"&gt;="&amp;$G19,T.Bonds,"&lt;"&amp;H19)</f>
        <v>5</v>
      </c>
    </row>
    <row r="20" spans="2:12" x14ac:dyDescent="0.15">
      <c r="B20">
        <v>1940</v>
      </c>
      <c r="C20" s="1">
        <v>-0.1067</v>
      </c>
      <c r="D20" s="1">
        <v>4.0000000000000002E-4</v>
      </c>
      <c r="E20" s="1">
        <v>5.3999999999999999E-2</v>
      </c>
      <c r="F20" s="2"/>
      <c r="G20" s="9">
        <v>0.2</v>
      </c>
      <c r="H20" s="9">
        <v>0.25</v>
      </c>
      <c r="I20" s="5" t="s">
        <v>25</v>
      </c>
      <c r="J20" s="6">
        <f>COUNTIFS(Stocks,"&gt;="&amp;$G20,Stocks,"&lt;"&amp;$H20)</f>
        <v>8</v>
      </c>
      <c r="K20">
        <f>COUNTIFS(T.Bills,"&gt;="&amp;$G20,T.Bills,"&lt;"&amp;$H20)</f>
        <v>0</v>
      </c>
      <c r="L20">
        <f>COUNTIFS(T.Bonds,"&gt;="&amp;$G20,T.Bonds,"&lt;"&amp;H20)</f>
        <v>2</v>
      </c>
    </row>
    <row r="21" spans="2:12" x14ac:dyDescent="0.15">
      <c r="B21">
        <v>1941</v>
      </c>
      <c r="C21" s="1">
        <v>-0.12770000000000001</v>
      </c>
      <c r="D21" s="1">
        <v>2.0000000000000001E-4</v>
      </c>
      <c r="E21" s="1">
        <v>-2.0199999999999999E-2</v>
      </c>
      <c r="F21" s="2"/>
      <c r="G21" s="9">
        <v>0.25</v>
      </c>
      <c r="H21" s="9">
        <v>0.3</v>
      </c>
      <c r="I21" s="5" t="s">
        <v>26</v>
      </c>
      <c r="J21" s="6">
        <f>COUNTIFS(Stocks,"&gt;="&amp;$G21,Stocks,"&lt;"&amp;$H21)</f>
        <v>4</v>
      </c>
      <c r="K21">
        <f>COUNTIFS(T.Bills,"&gt;="&amp;$G21,T.Bills,"&lt;"&amp;$H21)</f>
        <v>0</v>
      </c>
      <c r="L21">
        <f>COUNTIFS(T.Bonds,"&gt;="&amp;$G21,T.Bonds,"&lt;"&amp;H21)</f>
        <v>1</v>
      </c>
    </row>
    <row r="22" spans="2:12" x14ac:dyDescent="0.15">
      <c r="B22">
        <v>1942</v>
      </c>
      <c r="C22" s="1">
        <v>0.19170000000000001</v>
      </c>
      <c r="D22" s="1">
        <v>3.3E-3</v>
      </c>
      <c r="E22" s="1">
        <v>2.29E-2</v>
      </c>
      <c r="F22" s="2"/>
      <c r="G22" s="9">
        <v>0.3</v>
      </c>
      <c r="H22" s="9">
        <v>0.35</v>
      </c>
      <c r="I22" s="5" t="s">
        <v>27</v>
      </c>
      <c r="J22" s="6">
        <f>COUNTIFS(Stocks,"&gt;="&amp;$G22,Stocks,"&lt;"&amp;$H22)</f>
        <v>8</v>
      </c>
      <c r="K22">
        <f>COUNTIFS(T.Bills,"&gt;="&amp;$G22,T.Bills,"&lt;"&amp;$H22)</f>
        <v>0</v>
      </c>
      <c r="L22">
        <f>COUNTIFS(T.Bonds,"&gt;="&amp;$G22,T.Bonds,"&lt;"&amp;H22)</f>
        <v>1</v>
      </c>
    </row>
    <row r="23" spans="2:12" x14ac:dyDescent="0.15">
      <c r="B23">
        <v>1943</v>
      </c>
      <c r="C23" s="1">
        <v>0.25059999999999999</v>
      </c>
      <c r="D23" s="1">
        <v>3.8E-3</v>
      </c>
      <c r="E23" s="1">
        <v>2.4899999999999999E-2</v>
      </c>
      <c r="F23" s="2"/>
      <c r="G23" s="9">
        <v>0.35</v>
      </c>
      <c r="H23" s="9">
        <v>0.4</v>
      </c>
      <c r="I23" s="5" t="s">
        <v>28</v>
      </c>
      <c r="J23" s="6">
        <f>COUNTIFS(Stocks,"&gt;="&amp;$G23,Stocks,"&lt;"&amp;$H23)</f>
        <v>3</v>
      </c>
      <c r="K23">
        <f>COUNTIFS(T.Bills,"&gt;="&amp;$G23,T.Bills,"&lt;"&amp;$H23)</f>
        <v>0</v>
      </c>
      <c r="L23">
        <f>COUNTIFS(T.Bonds,"&gt;="&amp;$G23,T.Bonds,"&lt;"&amp;H23)</f>
        <v>0</v>
      </c>
    </row>
    <row r="24" spans="2:12" x14ac:dyDescent="0.15">
      <c r="B24">
        <v>1944</v>
      </c>
      <c r="C24" s="1">
        <v>0.1903</v>
      </c>
      <c r="D24" s="1">
        <v>3.8E-3</v>
      </c>
      <c r="E24" s="1">
        <v>2.58E-2</v>
      </c>
      <c r="F24" s="2"/>
      <c r="G24" s="9">
        <v>0.4</v>
      </c>
      <c r="H24" s="9">
        <v>0.45</v>
      </c>
      <c r="I24" s="5" t="s">
        <v>29</v>
      </c>
      <c r="J24" s="6">
        <f>COUNTIFS(Stocks,"&gt;="&amp;$G24,Stocks,"&lt;"&amp;$H24)</f>
        <v>2</v>
      </c>
      <c r="K24">
        <f>COUNTIFS(T.Bills,"&gt;="&amp;$G24,T.Bills,"&lt;"&amp;$H24)</f>
        <v>0</v>
      </c>
      <c r="L24">
        <f>COUNTIFS(T.Bonds,"&gt;="&amp;$G24,T.Bonds,"&lt;"&amp;H24)</f>
        <v>0</v>
      </c>
    </row>
    <row r="25" spans="2:12" x14ac:dyDescent="0.15">
      <c r="B25">
        <v>1945</v>
      </c>
      <c r="C25" s="1">
        <v>0.35820000000000002</v>
      </c>
      <c r="D25" s="1">
        <v>3.8E-3</v>
      </c>
      <c r="E25" s="1">
        <v>3.7999999999999999E-2</v>
      </c>
      <c r="F25" s="2"/>
      <c r="G25" s="9">
        <v>0.45</v>
      </c>
      <c r="H25" s="9">
        <v>0.5</v>
      </c>
      <c r="I25" s="5" t="s">
        <v>30</v>
      </c>
      <c r="J25" s="6">
        <f>COUNTIFS(Stocks,"&gt;="&amp;$G25,Stocks,"&lt;"&amp;$H25)</f>
        <v>2</v>
      </c>
      <c r="K25">
        <f>COUNTIFS(T.Bills,"&gt;="&amp;$G25,T.Bills,"&lt;"&amp;$H25)</f>
        <v>0</v>
      </c>
      <c r="L25">
        <f>COUNTIFS(T.Bonds,"&gt;="&amp;$G25,T.Bonds,"&lt;"&amp;H25)</f>
        <v>0</v>
      </c>
    </row>
    <row r="26" spans="2:12" x14ac:dyDescent="0.15">
      <c r="B26">
        <v>1946</v>
      </c>
      <c r="C26" s="1">
        <v>-8.43E-2</v>
      </c>
      <c r="D26" s="1">
        <v>3.8E-3</v>
      </c>
      <c r="E26" s="1">
        <v>3.1300000000000001E-2</v>
      </c>
      <c r="F26" s="2"/>
      <c r="G26" s="9">
        <v>0.5</v>
      </c>
      <c r="H26" s="9">
        <v>0.55000000000000004</v>
      </c>
      <c r="I26" s="5" t="s">
        <v>31</v>
      </c>
      <c r="J26" s="6">
        <f>COUNTIFS(Stocks,"&gt;="&amp;$G26,Stocks,"&lt;"&amp;$H26)</f>
        <v>1</v>
      </c>
      <c r="K26">
        <f>COUNTIFS(T.Bills,"&gt;="&amp;$G26,T.Bills,"&lt;"&amp;$H26)</f>
        <v>0</v>
      </c>
      <c r="L26">
        <f>COUNTIFS(T.Bonds,"&gt;="&amp;$G26,T.Bonds,"&lt;"&amp;H26)</f>
        <v>0</v>
      </c>
    </row>
    <row r="27" spans="2:12" x14ac:dyDescent="0.15">
      <c r="B27">
        <v>1947</v>
      </c>
      <c r="C27" s="1">
        <v>5.1999999999999998E-2</v>
      </c>
      <c r="D27" s="1">
        <v>3.8E-3</v>
      </c>
      <c r="E27" s="1">
        <v>9.1999999999999998E-3</v>
      </c>
      <c r="F27" s="2"/>
      <c r="H27" s="3"/>
      <c r="J27" s="6"/>
    </row>
    <row r="28" spans="2:12" x14ac:dyDescent="0.15">
      <c r="B28">
        <v>1948</v>
      </c>
      <c r="C28" s="1">
        <v>5.7000000000000002E-2</v>
      </c>
      <c r="D28" s="1">
        <v>9.4999999999999998E-3</v>
      </c>
      <c r="E28" s="1">
        <v>1.95E-2</v>
      </c>
      <c r="F28" s="2"/>
      <c r="I28" s="10" t="s">
        <v>36</v>
      </c>
      <c r="J28" s="6">
        <f>SUM(J6:J26)</f>
        <v>74</v>
      </c>
      <c r="K28" s="6">
        <f t="shared" ref="K28:L28" si="0">SUM(K6:K26)</f>
        <v>74</v>
      </c>
      <c r="L28" s="6">
        <f t="shared" si="0"/>
        <v>74</v>
      </c>
    </row>
    <row r="29" spans="2:12" x14ac:dyDescent="0.15">
      <c r="B29">
        <v>1949</v>
      </c>
      <c r="C29" s="1">
        <v>0.183</v>
      </c>
      <c r="D29" s="1">
        <v>1.1599999999999999E-2</v>
      </c>
      <c r="E29" s="1">
        <v>4.6600000000000003E-2</v>
      </c>
      <c r="F29" s="2"/>
      <c r="J29" s="11" t="str">
        <f ca="1">_xlfn.FORMULATEXT(J28)</f>
        <v>=SUM(J6:J26)</v>
      </c>
      <c r="K29" s="11" t="str">
        <f t="shared" ref="K29:L29" ca="1" si="1">_xlfn.FORMULATEXT(K28)</f>
        <v>=SUM(K6:K26)</v>
      </c>
      <c r="L29" s="11" t="str">
        <f t="shared" ca="1" si="1"/>
        <v>=SUM(L6:L26)</v>
      </c>
    </row>
    <row r="30" spans="2:12" x14ac:dyDescent="0.15">
      <c r="B30">
        <v>1950</v>
      </c>
      <c r="C30" s="1">
        <v>0.30809999999999998</v>
      </c>
      <c r="D30" s="1">
        <v>1.0999999999999999E-2</v>
      </c>
      <c r="E30" s="1">
        <v>4.3E-3</v>
      </c>
      <c r="F30" s="2"/>
      <c r="J30" s="6"/>
    </row>
    <row r="31" spans="2:12" x14ac:dyDescent="0.15">
      <c r="B31">
        <v>1951</v>
      </c>
      <c r="C31" s="1">
        <v>0.23680000000000001</v>
      </c>
      <c r="D31" s="1">
        <v>1.34E-2</v>
      </c>
      <c r="E31" s="1">
        <v>-3.0000000000000001E-3</v>
      </c>
      <c r="F31" s="2"/>
      <c r="J31" s="6"/>
    </row>
    <row r="32" spans="2:12" x14ac:dyDescent="0.15">
      <c r="B32">
        <v>1952</v>
      </c>
      <c r="C32" s="1">
        <v>0.18149999999999999</v>
      </c>
      <c r="D32" s="1">
        <v>1.7299999999999999E-2</v>
      </c>
      <c r="E32" s="1">
        <v>2.2700000000000001E-2</v>
      </c>
      <c r="F32" s="2"/>
      <c r="J32" s="6"/>
    </row>
    <row r="33" spans="2:10" x14ac:dyDescent="0.15">
      <c r="B33">
        <v>1953</v>
      </c>
      <c r="C33" s="1">
        <v>-1.21E-2</v>
      </c>
      <c r="D33" s="1">
        <v>2.0899999999999998E-2</v>
      </c>
      <c r="E33" s="1">
        <v>4.1399999999999999E-2</v>
      </c>
      <c r="F33" s="2"/>
      <c r="J33" s="6"/>
    </row>
    <row r="34" spans="2:10" x14ac:dyDescent="0.15">
      <c r="B34">
        <v>1954</v>
      </c>
      <c r="C34" s="1">
        <v>0.52559999999999996</v>
      </c>
      <c r="D34" s="1">
        <v>1.6E-2</v>
      </c>
      <c r="E34" s="1">
        <v>3.2899999999999999E-2</v>
      </c>
      <c r="F34" s="2"/>
      <c r="J34" s="6"/>
    </row>
    <row r="35" spans="2:10" x14ac:dyDescent="0.15">
      <c r="B35">
        <v>1955</v>
      </c>
      <c r="C35" s="1">
        <v>0.32600000000000001</v>
      </c>
      <c r="D35" s="1">
        <v>1.15E-2</v>
      </c>
      <c r="E35" s="1">
        <v>-1.34E-2</v>
      </c>
      <c r="F35" s="2"/>
      <c r="J35" s="6"/>
    </row>
    <row r="36" spans="2:10" x14ac:dyDescent="0.15">
      <c r="B36">
        <v>1956</v>
      </c>
      <c r="C36" s="1">
        <v>7.4399999999999994E-2</v>
      </c>
      <c r="D36" s="1">
        <v>2.5399999999999999E-2</v>
      </c>
      <c r="E36" s="1">
        <v>-2.2599999999999999E-2</v>
      </c>
      <c r="F36" s="2"/>
      <c r="J36" s="6"/>
    </row>
    <row r="37" spans="2:10" x14ac:dyDescent="0.15">
      <c r="B37">
        <v>1957</v>
      </c>
      <c r="C37" s="1">
        <v>-0.1046</v>
      </c>
      <c r="D37" s="1">
        <v>3.2099999999999997E-2</v>
      </c>
      <c r="E37" s="1">
        <v>6.8000000000000005E-2</v>
      </c>
      <c r="F37" s="2"/>
      <c r="J37" s="6"/>
    </row>
    <row r="38" spans="2:10" x14ac:dyDescent="0.15">
      <c r="B38">
        <v>1958</v>
      </c>
      <c r="C38" s="1">
        <v>0.43719999999999998</v>
      </c>
      <c r="D38" s="1">
        <v>3.04E-2</v>
      </c>
      <c r="E38" s="1">
        <v>-2.1000000000000001E-2</v>
      </c>
      <c r="F38" s="2"/>
      <c r="J38" s="6"/>
    </row>
    <row r="39" spans="2:10" x14ac:dyDescent="0.15">
      <c r="B39">
        <v>1959</v>
      </c>
      <c r="C39" s="1">
        <v>0.1206</v>
      </c>
      <c r="D39" s="1">
        <v>2.7699999999999999E-2</v>
      </c>
      <c r="E39" s="1">
        <v>-2.6499999999999999E-2</v>
      </c>
      <c r="F39" s="2"/>
      <c r="J39" s="6"/>
    </row>
    <row r="40" spans="2:10" x14ac:dyDescent="0.15">
      <c r="B40">
        <v>1960</v>
      </c>
      <c r="C40" s="1">
        <v>3.3999999999999998E-3</v>
      </c>
      <c r="D40" s="1">
        <v>4.4900000000000002E-2</v>
      </c>
      <c r="E40" s="1">
        <v>0.1164</v>
      </c>
      <c r="F40" s="2"/>
      <c r="J40" s="6"/>
    </row>
    <row r="41" spans="2:10" x14ac:dyDescent="0.15">
      <c r="B41">
        <v>1961</v>
      </c>
      <c r="C41" s="1">
        <v>0.26640000000000003</v>
      </c>
      <c r="D41" s="1">
        <v>2.2499999999999999E-2</v>
      </c>
      <c r="E41" s="1">
        <v>2.06E-2</v>
      </c>
      <c r="F41" s="2"/>
      <c r="J41" s="6"/>
    </row>
    <row r="42" spans="2:10" x14ac:dyDescent="0.15">
      <c r="B42">
        <v>1962</v>
      </c>
      <c r="C42" s="1">
        <v>-8.8099999999999998E-2</v>
      </c>
      <c r="D42" s="1">
        <v>2.5999999999999999E-2</v>
      </c>
      <c r="E42" s="1">
        <v>5.6899999999999999E-2</v>
      </c>
      <c r="F42" s="2"/>
      <c r="J42" s="6"/>
    </row>
    <row r="43" spans="2:10" x14ac:dyDescent="0.15">
      <c r="B43">
        <v>1963</v>
      </c>
      <c r="C43" s="1">
        <v>0.2261</v>
      </c>
      <c r="D43" s="1">
        <v>2.87E-2</v>
      </c>
      <c r="E43" s="1">
        <v>1.6799999999999999E-2</v>
      </c>
      <c r="F43" s="2"/>
      <c r="J43" s="6"/>
    </row>
    <row r="44" spans="2:10" x14ac:dyDescent="0.15">
      <c r="B44">
        <v>1964</v>
      </c>
      <c r="C44" s="1">
        <v>0.16420000000000001</v>
      </c>
      <c r="D44" s="1">
        <v>3.5200000000000002E-2</v>
      </c>
      <c r="E44" s="1">
        <v>3.73E-2</v>
      </c>
      <c r="F44" s="2"/>
      <c r="J44" s="6"/>
    </row>
    <row r="45" spans="2:10" x14ac:dyDescent="0.15">
      <c r="B45">
        <v>1965</v>
      </c>
      <c r="C45" s="1">
        <v>0.124</v>
      </c>
      <c r="D45" s="1">
        <v>3.8399999999999997E-2</v>
      </c>
      <c r="E45" s="1">
        <v>7.1999999999999998E-3</v>
      </c>
      <c r="F45" s="2"/>
      <c r="J45" s="6"/>
    </row>
    <row r="46" spans="2:10" x14ac:dyDescent="0.15">
      <c r="B46">
        <v>1966</v>
      </c>
      <c r="C46" s="1">
        <v>-9.9699999999999997E-2</v>
      </c>
      <c r="D46" s="1">
        <v>4.3799999999999999E-2</v>
      </c>
      <c r="E46" s="1">
        <v>2.9100000000000001E-2</v>
      </c>
      <c r="F46" s="2"/>
      <c r="J46" s="6"/>
    </row>
    <row r="47" spans="2:10" x14ac:dyDescent="0.15">
      <c r="B47">
        <v>1967</v>
      </c>
      <c r="C47" s="1">
        <v>0.23799999999999999</v>
      </c>
      <c r="D47" s="1">
        <v>4.9599999999999998E-2</v>
      </c>
      <c r="E47" s="1">
        <v>-1.5800000000000002E-2</v>
      </c>
      <c r="F47" s="2"/>
      <c r="J47" s="6"/>
    </row>
    <row r="48" spans="2:10" x14ac:dyDescent="0.15">
      <c r="B48">
        <v>1968</v>
      </c>
      <c r="C48" s="1">
        <v>0.1081</v>
      </c>
      <c r="D48" s="1">
        <v>4.9700000000000001E-2</v>
      </c>
      <c r="E48" s="1">
        <v>3.27E-2</v>
      </c>
      <c r="F48" s="2"/>
      <c r="J48" s="6"/>
    </row>
    <row r="49" spans="2:10" x14ac:dyDescent="0.15">
      <c r="B49">
        <v>1969</v>
      </c>
      <c r="C49" s="1">
        <v>-8.2400000000000001E-2</v>
      </c>
      <c r="D49" s="1">
        <v>5.96E-2</v>
      </c>
      <c r="E49" s="1">
        <v>-5.0099999999999999E-2</v>
      </c>
      <c r="F49" s="2"/>
      <c r="J49" s="6"/>
    </row>
    <row r="50" spans="2:10" x14ac:dyDescent="0.15">
      <c r="B50">
        <v>1970</v>
      </c>
      <c r="C50" s="1">
        <v>3.56E-2</v>
      </c>
      <c r="D50" s="1">
        <v>7.8200000000000006E-2</v>
      </c>
      <c r="E50" s="1">
        <v>0.16750000000000001</v>
      </c>
      <c r="F50" s="2"/>
      <c r="J50" s="6"/>
    </row>
    <row r="51" spans="2:10" x14ac:dyDescent="0.15">
      <c r="B51">
        <v>1971</v>
      </c>
      <c r="C51" s="1">
        <v>0.14219999999999999</v>
      </c>
      <c r="D51" s="1">
        <v>4.87E-2</v>
      </c>
      <c r="E51" s="1">
        <v>9.7900000000000001E-2</v>
      </c>
      <c r="F51" s="2"/>
      <c r="J51" s="6"/>
    </row>
    <row r="52" spans="2:10" x14ac:dyDescent="0.15">
      <c r="B52">
        <v>1972</v>
      </c>
      <c r="C52" s="1">
        <v>0.18759999999999999</v>
      </c>
      <c r="D52" s="1">
        <v>4.0099999999999997E-2</v>
      </c>
      <c r="E52" s="1">
        <v>2.8199999999999999E-2</v>
      </c>
      <c r="F52" s="2"/>
      <c r="J52" s="6"/>
    </row>
    <row r="53" spans="2:10" x14ac:dyDescent="0.15">
      <c r="B53">
        <v>1973</v>
      </c>
      <c r="C53" s="1">
        <v>-0.1431</v>
      </c>
      <c r="D53" s="1">
        <v>5.0700000000000002E-2</v>
      </c>
      <c r="E53" s="1">
        <v>3.6600000000000001E-2</v>
      </c>
      <c r="F53" s="2"/>
      <c r="J53" s="6"/>
    </row>
    <row r="54" spans="2:10" x14ac:dyDescent="0.15">
      <c r="B54">
        <v>1974</v>
      </c>
      <c r="C54" s="1">
        <v>-0.25900000000000001</v>
      </c>
      <c r="D54" s="1">
        <v>7.4499999999999997E-2</v>
      </c>
      <c r="E54" s="1">
        <v>1.9900000000000001E-2</v>
      </c>
      <c r="F54" s="2"/>
      <c r="J54" s="6"/>
    </row>
    <row r="55" spans="2:10" x14ac:dyDescent="0.15">
      <c r="B55">
        <v>1975</v>
      </c>
      <c r="C55" s="1">
        <v>0.37</v>
      </c>
      <c r="D55" s="1">
        <v>7.1499999999999994E-2</v>
      </c>
      <c r="E55" s="1">
        <v>3.61E-2</v>
      </c>
      <c r="F55" s="2"/>
      <c r="J55" s="6"/>
    </row>
    <row r="56" spans="2:10" x14ac:dyDescent="0.15">
      <c r="B56">
        <v>1976</v>
      </c>
      <c r="C56" s="1">
        <v>0.23830000000000001</v>
      </c>
      <c r="D56" s="1">
        <v>5.4399999999999997E-2</v>
      </c>
      <c r="E56" s="1">
        <v>0.1598</v>
      </c>
      <c r="F56" s="2"/>
      <c r="J56" s="6"/>
    </row>
    <row r="57" spans="2:10" x14ac:dyDescent="0.15">
      <c r="B57">
        <v>1977</v>
      </c>
      <c r="C57" s="1">
        <v>-6.9800000000000001E-2</v>
      </c>
      <c r="D57" s="1">
        <v>4.3499999999999997E-2</v>
      </c>
      <c r="E57" s="1">
        <v>1.29E-2</v>
      </c>
      <c r="F57" s="2"/>
      <c r="J57" s="6"/>
    </row>
    <row r="58" spans="2:10" x14ac:dyDescent="0.15">
      <c r="B58">
        <v>1978</v>
      </c>
      <c r="C58" s="1">
        <v>6.5100000000000005E-2</v>
      </c>
      <c r="D58" s="1">
        <v>6.0699999999999997E-2</v>
      </c>
      <c r="E58" s="1">
        <v>-7.7999999999999996E-3</v>
      </c>
      <c r="F58" s="2"/>
      <c r="J58" s="6"/>
    </row>
    <row r="59" spans="2:10" x14ac:dyDescent="0.15">
      <c r="B59">
        <v>1979</v>
      </c>
      <c r="C59" s="1">
        <v>0.1852</v>
      </c>
      <c r="D59" s="1">
        <v>9.0800000000000006E-2</v>
      </c>
      <c r="E59" s="1">
        <v>6.7000000000000002E-3</v>
      </c>
      <c r="F59" s="2"/>
      <c r="J59" s="6"/>
    </row>
    <row r="60" spans="2:10" x14ac:dyDescent="0.15">
      <c r="B60">
        <v>1980</v>
      </c>
      <c r="C60" s="1">
        <v>0.31740000000000002</v>
      </c>
      <c r="D60" s="1">
        <v>0.12039999999999999</v>
      </c>
      <c r="E60" s="1">
        <v>-2.9899999999999999E-2</v>
      </c>
      <c r="F60" s="2"/>
      <c r="J60" s="6"/>
    </row>
    <row r="61" spans="2:10" x14ac:dyDescent="0.15">
      <c r="B61">
        <v>1981</v>
      </c>
      <c r="C61" s="1">
        <v>-4.7E-2</v>
      </c>
      <c r="D61" s="1">
        <v>0.15490000000000001</v>
      </c>
      <c r="E61" s="1">
        <v>8.2000000000000003E-2</v>
      </c>
      <c r="F61" s="2"/>
      <c r="J61" s="6"/>
    </row>
    <row r="62" spans="2:10" x14ac:dyDescent="0.15">
      <c r="B62">
        <v>1982</v>
      </c>
      <c r="C62" s="1">
        <v>0.20419999999999999</v>
      </c>
      <c r="D62" s="1">
        <v>0.1085</v>
      </c>
      <c r="E62" s="1">
        <v>0.3281</v>
      </c>
      <c r="F62" s="2"/>
      <c r="J62" s="6"/>
    </row>
    <row r="63" spans="2:10" x14ac:dyDescent="0.15">
      <c r="B63">
        <v>1983</v>
      </c>
      <c r="C63" s="1">
        <v>0.22339999999999999</v>
      </c>
      <c r="D63" s="1">
        <v>7.9399999999999998E-2</v>
      </c>
      <c r="E63" s="1">
        <v>3.2000000000000001E-2</v>
      </c>
      <c r="F63" s="2"/>
      <c r="J63" s="6"/>
    </row>
    <row r="64" spans="2:10" x14ac:dyDescent="0.15">
      <c r="B64">
        <v>1984</v>
      </c>
      <c r="C64" s="1">
        <v>6.1499999999999999E-2</v>
      </c>
      <c r="D64" s="1">
        <v>0.09</v>
      </c>
      <c r="E64" s="1">
        <v>0.13730000000000001</v>
      </c>
      <c r="F64" s="2"/>
      <c r="J64" s="6"/>
    </row>
    <row r="65" spans="2:10" x14ac:dyDescent="0.15">
      <c r="B65">
        <v>1985</v>
      </c>
      <c r="C65" s="1">
        <v>0.31240000000000001</v>
      </c>
      <c r="D65" s="1">
        <v>8.0600000000000005E-2</v>
      </c>
      <c r="E65" s="1">
        <v>0.2571</v>
      </c>
      <c r="F65" s="2"/>
      <c r="J65" s="6"/>
    </row>
    <row r="66" spans="2:10" x14ac:dyDescent="0.15">
      <c r="B66">
        <v>1986</v>
      </c>
      <c r="C66" s="1">
        <v>0.18490000000000001</v>
      </c>
      <c r="D66" s="1">
        <v>7.0999999999999994E-2</v>
      </c>
      <c r="E66" s="1">
        <v>0.24279999999999999</v>
      </c>
      <c r="F66" s="2"/>
      <c r="J66" s="6"/>
    </row>
    <row r="67" spans="2:10" x14ac:dyDescent="0.15">
      <c r="B67">
        <v>1987</v>
      </c>
      <c r="C67" s="1">
        <v>5.8099999999999999E-2</v>
      </c>
      <c r="D67" s="1">
        <v>5.5300000000000002E-2</v>
      </c>
      <c r="E67" s="1">
        <v>-4.9599999999999998E-2</v>
      </c>
      <c r="F67" s="2"/>
      <c r="J67" s="6"/>
    </row>
    <row r="68" spans="2:10" x14ac:dyDescent="0.15">
      <c r="B68">
        <v>1988</v>
      </c>
      <c r="C68" s="1">
        <v>0.16539999999999999</v>
      </c>
      <c r="D68" s="1">
        <v>5.7700000000000001E-2</v>
      </c>
      <c r="E68" s="1">
        <v>8.2199999999999995E-2</v>
      </c>
      <c r="F68" s="2"/>
      <c r="J68" s="6"/>
    </row>
    <row r="69" spans="2:10" x14ac:dyDescent="0.15">
      <c r="B69">
        <v>1989</v>
      </c>
      <c r="C69" s="1">
        <v>0.31480000000000002</v>
      </c>
      <c r="D69" s="1">
        <v>8.0699999999999994E-2</v>
      </c>
      <c r="E69" s="1">
        <v>0.1769</v>
      </c>
      <c r="F69" s="2"/>
      <c r="J69" s="6"/>
    </row>
    <row r="70" spans="2:10" x14ac:dyDescent="0.15">
      <c r="B70">
        <v>1990</v>
      </c>
      <c r="C70" s="1">
        <v>-3.0599999999999999E-2</v>
      </c>
      <c r="D70" s="1">
        <v>7.6300000000000007E-2</v>
      </c>
      <c r="E70" s="1">
        <v>6.2399999999999997E-2</v>
      </c>
      <c r="F70" s="2"/>
      <c r="J70" s="6"/>
    </row>
    <row r="71" spans="2:10" x14ac:dyDescent="0.15">
      <c r="B71">
        <v>1991</v>
      </c>
      <c r="C71" s="1">
        <v>0.30230000000000001</v>
      </c>
      <c r="D71" s="1">
        <v>6.7400000000000002E-2</v>
      </c>
      <c r="E71" s="1">
        <v>0.15</v>
      </c>
      <c r="F71" s="2"/>
      <c r="J71" s="6"/>
    </row>
    <row r="72" spans="2:10" x14ac:dyDescent="0.15">
      <c r="B72">
        <v>1992</v>
      </c>
      <c r="C72" s="1">
        <v>7.4899999999999994E-2</v>
      </c>
      <c r="D72" s="1">
        <v>4.07E-2</v>
      </c>
      <c r="E72" s="1">
        <v>9.3600000000000003E-2</v>
      </c>
      <c r="F72" s="2"/>
      <c r="J72" s="6"/>
    </row>
    <row r="73" spans="2:10" x14ac:dyDescent="0.15">
      <c r="B73">
        <v>1993</v>
      </c>
      <c r="C73" s="1">
        <v>9.9699999999999997E-2</v>
      </c>
      <c r="D73" s="1">
        <v>3.2199999999999999E-2</v>
      </c>
      <c r="E73" s="1">
        <v>0.1421</v>
      </c>
      <c r="F73" s="2"/>
      <c r="J73" s="6"/>
    </row>
    <row r="74" spans="2:10" x14ac:dyDescent="0.15">
      <c r="B74">
        <v>1994</v>
      </c>
      <c r="C74" s="1">
        <v>1.3299999999999999E-2</v>
      </c>
      <c r="D74" s="1">
        <v>3.0599999999999999E-2</v>
      </c>
      <c r="E74" s="1">
        <v>-8.0399999999999999E-2</v>
      </c>
      <c r="F74" s="2"/>
      <c r="J74" s="6"/>
    </row>
    <row r="75" spans="2:10" x14ac:dyDescent="0.15">
      <c r="B75">
        <v>1995</v>
      </c>
      <c r="C75" s="1">
        <v>0.372</v>
      </c>
      <c r="D75" s="1">
        <v>5.6000000000000001E-2</v>
      </c>
      <c r="E75" s="1">
        <v>0.23480000000000001</v>
      </c>
      <c r="F75" s="2"/>
      <c r="J75" s="6"/>
    </row>
    <row r="76" spans="2:10" x14ac:dyDescent="0.15">
      <c r="B76">
        <v>1996</v>
      </c>
      <c r="C76" s="1">
        <v>0.2382</v>
      </c>
      <c r="D76" s="1">
        <v>5.1400000000000001E-2</v>
      </c>
      <c r="E76" s="1">
        <v>1.43E-2</v>
      </c>
      <c r="F76" s="2"/>
      <c r="J76" s="6"/>
    </row>
    <row r="77" spans="2:10" x14ac:dyDescent="0.15">
      <c r="B77">
        <v>1997</v>
      </c>
      <c r="C77" s="1">
        <v>0.31859999999999999</v>
      </c>
      <c r="D77" s="1">
        <v>4.9099999999999998E-2</v>
      </c>
      <c r="E77" s="1">
        <v>9.9400000000000002E-2</v>
      </c>
      <c r="F77" s="2"/>
      <c r="I77" s="5"/>
      <c r="J77" s="6"/>
    </row>
    <row r="78" spans="2:10" x14ac:dyDescent="0.15">
      <c r="B78">
        <v>1998</v>
      </c>
      <c r="C78" s="1">
        <v>0.28339999999999999</v>
      </c>
      <c r="D78" s="1">
        <v>5.16E-2</v>
      </c>
      <c r="E78" s="1">
        <v>0.1492</v>
      </c>
      <c r="F78" s="2"/>
      <c r="I78" s="5"/>
      <c r="J78" s="6"/>
    </row>
    <row r="79" spans="2:10" x14ac:dyDescent="0.15">
      <c r="B79">
        <v>1999</v>
      </c>
      <c r="C79" s="1">
        <v>0.2089</v>
      </c>
      <c r="D79" s="1">
        <v>4.3900000000000002E-2</v>
      </c>
      <c r="E79" s="1">
        <v>-8.2500000000000004E-2</v>
      </c>
      <c r="F79" s="2"/>
      <c r="I79" s="5"/>
      <c r="J79" s="6"/>
    </row>
    <row r="80" spans="2:10" x14ac:dyDescent="0.15">
      <c r="B80">
        <v>2000</v>
      </c>
      <c r="C80" s="1">
        <v>-9.0300000000000005E-2</v>
      </c>
      <c r="D80" s="1">
        <v>5.3699999999999998E-2</v>
      </c>
      <c r="E80" s="1">
        <v>0.1666</v>
      </c>
      <c r="F80" s="2"/>
      <c r="I80" s="5"/>
      <c r="J80" s="6"/>
    </row>
    <row r="81" spans="2:10" x14ac:dyDescent="0.15">
      <c r="B81">
        <v>2001</v>
      </c>
      <c r="C81" s="1">
        <v>-0.11849999999999999</v>
      </c>
      <c r="D81" s="1">
        <v>5.7299999999999997E-2</v>
      </c>
      <c r="E81" s="1">
        <v>5.57E-2</v>
      </c>
      <c r="F81" s="2"/>
      <c r="I81" s="5"/>
      <c r="J81" s="6"/>
    </row>
    <row r="82" spans="2:10" x14ac:dyDescent="0.15">
      <c r="I82" s="5"/>
      <c r="J82" s="6"/>
    </row>
    <row r="83" spans="2:10" x14ac:dyDescent="0.15">
      <c r="C83" s="7" t="s">
        <v>6</v>
      </c>
      <c r="D83" s="7" t="s">
        <v>7</v>
      </c>
      <c r="E83" s="7" t="s">
        <v>8</v>
      </c>
      <c r="I83" s="5"/>
      <c r="J83" s="6"/>
    </row>
    <row r="84" spans="2:10" x14ac:dyDescent="0.15">
      <c r="B84" s="7" t="s">
        <v>5</v>
      </c>
      <c r="C84" s="1">
        <f>AVERAGE(Stocks)</f>
        <v>0.12052567567567571</v>
      </c>
      <c r="D84" s="1">
        <f>AVERAGE(T.Bills)</f>
        <v>3.9602702702702719E-2</v>
      </c>
      <c r="E84" s="1">
        <f>AVERAGE(T.Bonds)</f>
        <v>5.2148648648648634E-2</v>
      </c>
      <c r="I84" s="5"/>
      <c r="J84" s="6"/>
    </row>
    <row r="85" spans="2:10" x14ac:dyDescent="0.15">
      <c r="C85" s="1"/>
      <c r="D85" s="1"/>
      <c r="E85" s="1"/>
      <c r="I85" s="5"/>
      <c r="J85" s="6"/>
    </row>
    <row r="86" spans="2:10" x14ac:dyDescent="0.15">
      <c r="C86" s="12" t="str">
        <f ca="1">_xlfn.FORMULATEXT(C84)</f>
        <v>=AVERAGE(Stocks)</v>
      </c>
      <c r="D86" s="12" t="str">
        <f t="shared" ref="D86:E86" ca="1" si="2">_xlfn.FORMULATEXT(D84)</f>
        <v>=AVERAGE(T.Bills)</v>
      </c>
      <c r="E86" s="12" t="str">
        <f t="shared" ca="1" si="2"/>
        <v>=AVERAGE(T.Bonds)</v>
      </c>
      <c r="I86" s="5"/>
      <c r="J86" s="6"/>
    </row>
    <row r="87" spans="2:10" x14ac:dyDescent="0.15">
      <c r="B87" s="3"/>
      <c r="C87" s="3"/>
      <c r="I87" s="5"/>
      <c r="J87" s="6"/>
    </row>
    <row r="88" spans="2:10" x14ac:dyDescent="0.15">
      <c r="I88" s="5"/>
      <c r="J88" s="6"/>
    </row>
    <row r="89" spans="2:10" x14ac:dyDescent="0.15">
      <c r="B89" s="4"/>
      <c r="C89" s="6"/>
      <c r="D89" s="1"/>
      <c r="E89" s="1"/>
      <c r="G89" s="1"/>
      <c r="H89" s="1"/>
    </row>
    <row r="90" spans="2:10" x14ac:dyDescent="0.15">
      <c r="B90" s="4"/>
      <c r="C90" s="6"/>
      <c r="D90" s="1"/>
      <c r="E90" s="1"/>
      <c r="G90" s="1"/>
      <c r="H90" s="1"/>
    </row>
    <row r="91" spans="2:10" x14ac:dyDescent="0.15">
      <c r="B91" s="4"/>
      <c r="C91" s="6"/>
      <c r="D91" s="1"/>
      <c r="E91" s="1"/>
      <c r="G91" s="1"/>
      <c r="H91" s="1"/>
    </row>
    <row r="92" spans="2:10" x14ac:dyDescent="0.15">
      <c r="B92" s="4"/>
      <c r="C92" s="6"/>
    </row>
    <row r="93" spans="2:10" x14ac:dyDescent="0.15">
      <c r="B93" s="5"/>
      <c r="C93" s="6"/>
    </row>
    <row r="94" spans="2:10" x14ac:dyDescent="0.15">
      <c r="B94" s="5"/>
      <c r="C94" s="6"/>
    </row>
    <row r="95" spans="2:10" x14ac:dyDescent="0.15">
      <c r="B95" s="4"/>
      <c r="C95" s="6"/>
    </row>
    <row r="96" spans="2:10" x14ac:dyDescent="0.15">
      <c r="B96" s="5"/>
      <c r="C96" s="6"/>
    </row>
    <row r="97" spans="2:3" x14ac:dyDescent="0.15">
      <c r="B97" s="5"/>
      <c r="C97" s="6"/>
    </row>
    <row r="98" spans="2:3" x14ac:dyDescent="0.15">
      <c r="B98" s="5"/>
      <c r="C98" s="6"/>
    </row>
    <row r="99" spans="2:3" x14ac:dyDescent="0.15">
      <c r="B99" s="5"/>
      <c r="C99" s="6"/>
    </row>
    <row r="100" spans="2:3" x14ac:dyDescent="0.15">
      <c r="B100" s="5"/>
      <c r="C100" s="6"/>
    </row>
    <row r="101" spans="2:3" x14ac:dyDescent="0.15">
      <c r="B101" s="5"/>
      <c r="C101" s="6"/>
    </row>
    <row r="102" spans="2:3" x14ac:dyDescent="0.15">
      <c r="B102" s="5"/>
      <c r="C102" s="6"/>
    </row>
    <row r="103" spans="2:3" x14ac:dyDescent="0.15">
      <c r="B103" s="5"/>
      <c r="C103" s="6"/>
    </row>
    <row r="104" spans="2:3" x14ac:dyDescent="0.15">
      <c r="B104" s="5"/>
      <c r="C104" s="6"/>
    </row>
    <row r="105" spans="2:3" x14ac:dyDescent="0.15">
      <c r="B105" s="5"/>
      <c r="C105" s="6"/>
    </row>
    <row r="106" spans="2:3" x14ac:dyDescent="0.15">
      <c r="B106" s="5"/>
      <c r="C106" s="6"/>
    </row>
    <row r="107" spans="2:3" x14ac:dyDescent="0.15">
      <c r="B107" s="5"/>
      <c r="C107" s="6"/>
    </row>
    <row r="108" spans="2:3" x14ac:dyDescent="0.15">
      <c r="B108" s="5"/>
      <c r="C108" s="6"/>
    </row>
    <row r="109" spans="2:3" x14ac:dyDescent="0.15">
      <c r="B109" s="5"/>
      <c r="C109" s="6"/>
    </row>
    <row r="110" spans="2:3" x14ac:dyDescent="0.15">
      <c r="B110" s="2"/>
    </row>
    <row r="111" spans="2:3" x14ac:dyDescent="0.15">
      <c r="B111" s="2"/>
    </row>
    <row r="112" spans="2:3" x14ac:dyDescent="0.15">
      <c r="B112" s="2"/>
    </row>
    <row r="113" spans="2:2" x14ac:dyDescent="0.15">
      <c r="B113" s="2"/>
    </row>
    <row r="114" spans="2:2" x14ac:dyDescent="0.15">
      <c r="B114" s="2"/>
    </row>
    <row r="115" spans="2:2" x14ac:dyDescent="0.15">
      <c r="B115" s="2"/>
    </row>
    <row r="116" spans="2:2" x14ac:dyDescent="0.15">
      <c r="B116" s="2"/>
    </row>
    <row r="117" spans="2:2" x14ac:dyDescent="0.15">
      <c r="B117" s="2"/>
    </row>
    <row r="118" spans="2:2" x14ac:dyDescent="0.15">
      <c r="B118" s="2"/>
    </row>
    <row r="119" spans="2:2" x14ac:dyDescent="0.15">
      <c r="B119" s="2"/>
    </row>
    <row r="120" spans="2:2" x14ac:dyDescent="0.15">
      <c r="B120" s="2"/>
    </row>
    <row r="121" spans="2:2" x14ac:dyDescent="0.15">
      <c r="B121" s="2"/>
    </row>
    <row r="122" spans="2:2" x14ac:dyDescent="0.15">
      <c r="B122" s="2"/>
    </row>
    <row r="123" spans="2:2" x14ac:dyDescent="0.15">
      <c r="B123" s="2"/>
    </row>
    <row r="124" spans="2:2" x14ac:dyDescent="0.15">
      <c r="B124" s="2"/>
    </row>
    <row r="125" spans="2:2" x14ac:dyDescent="0.15">
      <c r="B125" s="2"/>
    </row>
    <row r="126" spans="2:2" x14ac:dyDescent="0.15">
      <c r="B126" s="2"/>
    </row>
    <row r="127" spans="2:2" x14ac:dyDescent="0.15">
      <c r="B127" s="2"/>
    </row>
    <row r="128" spans="2:2" x14ac:dyDescent="0.15">
      <c r="B128" s="2"/>
    </row>
    <row r="129" spans="2:2" x14ac:dyDescent="0.15">
      <c r="B129" s="2"/>
    </row>
    <row r="130" spans="2:2" x14ac:dyDescent="0.15">
      <c r="B130" s="2"/>
    </row>
    <row r="131" spans="2:2" x14ac:dyDescent="0.15">
      <c r="B131" s="2"/>
    </row>
    <row r="132" spans="2:2" x14ac:dyDescent="0.15">
      <c r="B132" s="2"/>
    </row>
    <row r="133" spans="2:2" x14ac:dyDescent="0.15">
      <c r="B133" s="2"/>
    </row>
    <row r="134" spans="2:2" x14ac:dyDescent="0.15">
      <c r="B134" s="2"/>
    </row>
    <row r="135" spans="2:2" x14ac:dyDescent="0.15">
      <c r="B135" s="2"/>
    </row>
    <row r="136" spans="2:2" x14ac:dyDescent="0.15">
      <c r="B136" s="2"/>
    </row>
    <row r="137" spans="2:2" x14ac:dyDescent="0.15">
      <c r="B137" s="2"/>
    </row>
    <row r="138" spans="2:2" x14ac:dyDescent="0.15">
      <c r="B138" s="2"/>
    </row>
    <row r="139" spans="2:2" x14ac:dyDescent="0.15">
      <c r="B139" s="2"/>
    </row>
    <row r="140" spans="2:2" x14ac:dyDescent="0.15">
      <c r="B140" s="2"/>
    </row>
    <row r="141" spans="2:2" x14ac:dyDescent="0.15">
      <c r="B141" s="2"/>
    </row>
    <row r="142" spans="2:2" x14ac:dyDescent="0.15">
      <c r="B142" s="2"/>
    </row>
    <row r="143" spans="2:2" x14ac:dyDescent="0.15">
      <c r="B143" s="2"/>
    </row>
    <row r="144" spans="2:2" x14ac:dyDescent="0.15">
      <c r="B144" s="2"/>
    </row>
    <row r="145" spans="2:2" x14ac:dyDescent="0.15">
      <c r="B145" s="2"/>
    </row>
    <row r="146" spans="2:2" x14ac:dyDescent="0.15">
      <c r="B146" s="2"/>
    </row>
    <row r="147" spans="2:2" x14ac:dyDescent="0.15">
      <c r="B147" s="2"/>
    </row>
    <row r="148" spans="2:2" x14ac:dyDescent="0.15">
      <c r="B148" s="2"/>
    </row>
    <row r="149" spans="2:2" x14ac:dyDescent="0.15">
      <c r="B149" s="2"/>
    </row>
    <row r="150" spans="2:2" x14ac:dyDescent="0.15">
      <c r="B150" s="2"/>
    </row>
    <row r="151" spans="2:2" x14ac:dyDescent="0.15">
      <c r="B151" s="2"/>
    </row>
    <row r="152" spans="2:2" x14ac:dyDescent="0.15">
      <c r="B152" s="2"/>
    </row>
    <row r="153" spans="2:2" x14ac:dyDescent="0.15">
      <c r="B153" s="2"/>
    </row>
    <row r="154" spans="2:2" x14ac:dyDescent="0.15">
      <c r="B154" s="2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4" sqref="A4"/>
    </sheetView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00810F-BB09-4064-BAE4-D9D3F8CC5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10E73B8F-F747-4FA4-B55B-C7C3AC1DF02F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7E9A3B57-002A-4CA3-96EE-989D500117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Stocks</vt:lpstr>
      <vt:lpstr>T.Bills</vt:lpstr>
      <vt:lpstr>T.Bonds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2007-02-23T16:56:08Z</dcterms:created>
  <dcterms:modified xsi:type="dcterms:W3CDTF">2026-10-26T17:31:30Z</dcterms:modified>
  <cp:category/>
</cp:coreProperties>
</file>