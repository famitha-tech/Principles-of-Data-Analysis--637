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pearson2019\ch3\Practice Files\"/>
    </mc:Choice>
  </mc:AlternateContent>
  <xr:revisionPtr revIDLastSave="0" documentId="13_ncr:1_{63670D40-FE76-4F1B-9F1D-3667EC15631A}" xr6:coauthVersionLast="47" xr6:coauthVersionMax="47" xr10:uidLastSave="{00000000-0000-0000-0000-000000000000}"/>
  <bookViews>
    <workbookView xWindow="-104" yWindow="-104" windowWidth="22326" windowHeight="12050" xr2:uid="{904190B0-0D85-4011-BDA7-1893E82670F4}"/>
  </bookViews>
  <sheets>
    <sheet name="baseball" sheetId="1" r:id="rId1"/>
  </sheets>
  <definedNames>
    <definedName name="Asst">#REF!</definedName>
    <definedName name="Pts">#REF!</definedName>
    <definedName name="Re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 a="1"/>
  <c r="K14" i="1" s="1"/>
  <c r="K11" i="1"/>
  <c r="R19" i="1"/>
  <c r="R20" i="1"/>
  <c r="I24" i="1" l="1" a="1"/>
  <c r="I24" i="1" s="1"/>
  <c r="P3" i="1" a="1"/>
  <c r="P3" i="1" s="1"/>
  <c r="K20" i="1" a="1"/>
  <c r="K20" i="1" s="1"/>
  <c r="K18" i="1"/>
  <c r="K9" i="1" a="1"/>
  <c r="K9" i="1" s="1"/>
  <c r="K5" i="1" a="1"/>
  <c r="K5" i="1" s="1"/>
  <c r="S23" i="1"/>
  <c r="J10" i="1"/>
  <c r="K17" i="1"/>
  <c r="I23" i="1"/>
  <c r="K3" i="1"/>
  <c r="R23" i="1"/>
  <c r="R1" i="1"/>
  <c r="J13" i="1"/>
  <c r="I19" i="1"/>
  <c r="K8" i="1"/>
  <c r="Q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<sst xmlns="http://schemas.openxmlformats.org/spreadsheetml/2006/main" count="2651" uniqueCount="938">
  <si>
    <t>Name</t>
  </si>
  <si>
    <t>Team</t>
  </si>
  <si>
    <t>POS</t>
  </si>
  <si>
    <t>Salary</t>
  </si>
  <si>
    <t>Max Scherzer</t>
  </si>
  <si>
    <t>WSH</t>
  </si>
  <si>
    <t>SP</t>
  </si>
  <si>
    <t>Stephen Strasburg</t>
  </si>
  <si>
    <t>Mike Trout</t>
  </si>
  <si>
    <t>LAA</t>
  </si>
  <si>
    <t>CF</t>
  </si>
  <si>
    <t>Zack Greinke</t>
  </si>
  <si>
    <t>ARI</t>
  </si>
  <si>
    <t>David Price</t>
  </si>
  <si>
    <t>BOS</t>
  </si>
  <si>
    <t>Clayton Kershaw</t>
  </si>
  <si>
    <t>LAD</t>
  </si>
  <si>
    <t>Miguel Cabrera</t>
  </si>
  <si>
    <t>DET</t>
  </si>
  <si>
    <t>DH</t>
  </si>
  <si>
    <t>Yoenis Cespedes</t>
  </si>
  <si>
    <t>NYM</t>
  </si>
  <si>
    <t>OF</t>
  </si>
  <si>
    <t>Justin Verlander</t>
  </si>
  <si>
    <t>HOU</t>
  </si>
  <si>
    <t>Albert Pujols</t>
  </si>
  <si>
    <t>Felix Hernandez</t>
  </si>
  <si>
    <t>SEA</t>
  </si>
  <si>
    <t>Jon Lester</t>
  </si>
  <si>
    <t>CHC</t>
  </si>
  <si>
    <t>Nolan Arenado</t>
  </si>
  <si>
    <t>COL</t>
  </si>
  <si>
    <t>3B</t>
  </si>
  <si>
    <t>Giancarlo Stanton</t>
  </si>
  <si>
    <t>NYY</t>
  </si>
  <si>
    <t>RF</t>
  </si>
  <si>
    <t>Jake Arrieta</t>
  </si>
  <si>
    <t>PHI</t>
  </si>
  <si>
    <t>Joey Votto</t>
  </si>
  <si>
    <t>CIN</t>
  </si>
  <si>
    <t>1B</t>
  </si>
  <si>
    <t>Jordan Zimmermann</t>
  </si>
  <si>
    <t>Robinson Cano</t>
  </si>
  <si>
    <t>2B</t>
  </si>
  <si>
    <t>J.D. Martinez</t>
  </si>
  <si>
    <t>Edwin Encarnacion</t>
  </si>
  <si>
    <t>Josh Donaldson</t>
  </si>
  <si>
    <t>ATL</t>
  </si>
  <si>
    <t>Johnny Cueto</t>
  </si>
  <si>
    <t>SF</t>
  </si>
  <si>
    <t>Buster Posey</t>
  </si>
  <si>
    <t>C</t>
  </si>
  <si>
    <t>Masahiro Tanaka</t>
  </si>
  <si>
    <t>Jacoby Ellsbury</t>
  </si>
  <si>
    <t>Eric Hosmer</t>
  </si>
  <si>
    <t>SD</t>
  </si>
  <si>
    <t>Charlie Blackmon</t>
  </si>
  <si>
    <t>Matt Kemp</t>
  </si>
  <si>
    <t>Freddie Freeman</t>
  </si>
  <si>
    <t>Rick Porcello</t>
  </si>
  <si>
    <t>Chris Davis</t>
  </si>
  <si>
    <t>BAL</t>
  </si>
  <si>
    <t>Alex Gordon</t>
  </si>
  <si>
    <t>KC</t>
  </si>
  <si>
    <t>LF</t>
  </si>
  <si>
    <t>Shin-Soo Choo</t>
  </si>
  <si>
    <t>TEX</t>
  </si>
  <si>
    <t>Carlos Santana</t>
  </si>
  <si>
    <t>CLE</t>
  </si>
  <si>
    <t>Yu Darvish</t>
  </si>
  <si>
    <t>Cole Hamels</t>
  </si>
  <si>
    <t>Mookie Betts</t>
  </si>
  <si>
    <t>Russell Martin</t>
  </si>
  <si>
    <t>Yadier Molina</t>
  </si>
  <si>
    <t>STL</t>
  </si>
  <si>
    <t>Jason Heyward</t>
  </si>
  <si>
    <t>Jeff Samardzija</t>
  </si>
  <si>
    <t>Wei-Yin Chen</t>
  </si>
  <si>
    <t>MIA</t>
  </si>
  <si>
    <t>RP</t>
  </si>
  <si>
    <t>Justin Upton</t>
  </si>
  <si>
    <t>Kyle Seager</t>
  </si>
  <si>
    <t>Justin Turner</t>
  </si>
  <si>
    <t>Mark Melancon</t>
  </si>
  <si>
    <t>Kenley Jansen</t>
  </si>
  <si>
    <t>Anthony Rendon</t>
  </si>
  <si>
    <t>Rich Hill</t>
  </si>
  <si>
    <t>Pablo Sandoval</t>
  </si>
  <si>
    <t>Ryan Zimmerman</t>
  </si>
  <si>
    <t>Wade Davis</t>
  </si>
  <si>
    <t>Yasmani Grandal</t>
  </si>
  <si>
    <t>MIL</t>
  </si>
  <si>
    <t>Ryan Braun</t>
  </si>
  <si>
    <t>Hyun-Jin Ryu</t>
  </si>
  <si>
    <t>Brandon Belt</t>
  </si>
  <si>
    <t>Aroldis Chapman</t>
  </si>
  <si>
    <t>Corey Kluber</t>
  </si>
  <si>
    <t>Mike Leake</t>
  </si>
  <si>
    <t>Nathan Eovaldi</t>
  </si>
  <si>
    <t>J.A. Happ</t>
  </si>
  <si>
    <t>Ian Kennedy</t>
  </si>
  <si>
    <t>Khris Davis</t>
  </si>
  <si>
    <t>OAK</t>
  </si>
  <si>
    <t>Dexter Fowler</t>
  </si>
  <si>
    <t>Michael Brantley</t>
  </si>
  <si>
    <t>Jose Abreu</t>
  </si>
  <si>
    <t>CWS</t>
  </si>
  <si>
    <t>Evan Longoria</t>
  </si>
  <si>
    <t>Ian Desmond</t>
  </si>
  <si>
    <t>Matt Carpenter</t>
  </si>
  <si>
    <t>Elvis Andrus</t>
  </si>
  <si>
    <t>SS</t>
  </si>
  <si>
    <t>Danny Duffy</t>
  </si>
  <si>
    <t>Brandon Crawford</t>
  </si>
  <si>
    <t>Jean Segura</t>
  </si>
  <si>
    <t>Martin Prado</t>
  </si>
  <si>
    <t>Paul Goldschmidt</t>
  </si>
  <si>
    <t>Charlie Morton</t>
  </si>
  <si>
    <t>TB</t>
  </si>
  <si>
    <t>Chris Sale</t>
  </si>
  <si>
    <t>Lorenzo Cain</t>
  </si>
  <si>
    <t>Jason Kipnis</t>
  </si>
  <si>
    <t>Dustin Pedroia</t>
  </si>
  <si>
    <t>Nelson Cruz</t>
  </si>
  <si>
    <t>MIN</t>
  </si>
  <si>
    <t>Jay Bruce</t>
  </si>
  <si>
    <t>Alex Cobb</t>
  </si>
  <si>
    <t>Gerrit Cole</t>
  </si>
  <si>
    <t>Dee Gordon</t>
  </si>
  <si>
    <t>Mark Trumbo</t>
  </si>
  <si>
    <t>Jedd Gyorko</t>
  </si>
  <si>
    <t>Andrelton Simmons</t>
  </si>
  <si>
    <t>Zack Britton</t>
  </si>
  <si>
    <t>Trevor Bauer</t>
  </si>
  <si>
    <t>Josh Reddick</t>
  </si>
  <si>
    <t>Daniel Murphy</t>
  </si>
  <si>
    <t>Patrick Corbin</t>
  </si>
  <si>
    <t>Kris Bryant</t>
  </si>
  <si>
    <t>Zack Cozart</t>
  </si>
  <si>
    <t>Ben Zobrist</t>
  </si>
  <si>
    <t>Tyler Chatwood</t>
  </si>
  <si>
    <t>Anthony Rizzo</t>
  </si>
  <si>
    <t>Marcell Ozuna</t>
  </si>
  <si>
    <t>Andrew Miller</t>
  </si>
  <si>
    <t>Starlin Castro</t>
  </si>
  <si>
    <t>Madison Bumgarner</t>
  </si>
  <si>
    <t>Xander Bogaerts</t>
  </si>
  <si>
    <t>DJ LeMahieu</t>
  </si>
  <si>
    <t>Manny Machado</t>
  </si>
  <si>
    <t>Marwin Gonzalez</t>
  </si>
  <si>
    <t>George Springer</t>
  </si>
  <si>
    <t>Kendrys Morales</t>
  </si>
  <si>
    <t>Carlos Martinez</t>
  </si>
  <si>
    <t>Didi Gregorius</t>
  </si>
  <si>
    <t>Bryce Harper</t>
  </si>
  <si>
    <t>Francisco Cervelli</t>
  </si>
  <si>
    <t>PIT</t>
  </si>
  <si>
    <t>Salvador Perez</t>
  </si>
  <si>
    <t>Julio Teheran</t>
  </si>
  <si>
    <t>Matt Harvey</t>
  </si>
  <si>
    <t>David Robertson</t>
  </si>
  <si>
    <t>Andrew McCutchen</t>
  </si>
  <si>
    <t>Kole Calhoun</t>
  </si>
  <si>
    <t>Starling Marte</t>
  </si>
  <si>
    <t>Francisco Lindor</t>
  </si>
  <si>
    <t>Jose Quintana</t>
  </si>
  <si>
    <t>Carlos Carrasco</t>
  </si>
  <si>
    <t>Brandon Morrow</t>
  </si>
  <si>
    <t>Yulieski Gurriel</t>
  </si>
  <si>
    <t>Tanner Roark</t>
  </si>
  <si>
    <t>Mike Moustakas</t>
  </si>
  <si>
    <t>Nick Castellanos</t>
  </si>
  <si>
    <t>Christian Yelich</t>
  </si>
  <si>
    <t>Mike Minor</t>
  </si>
  <si>
    <t>Scooter Gennett</t>
  </si>
  <si>
    <t>Yasiel Puig</t>
  </si>
  <si>
    <t>Alex Wood</t>
  </si>
  <si>
    <t>Jose Altuve</t>
  </si>
  <si>
    <t>Andrew Cashner</t>
  </si>
  <si>
    <t>Jake Odorizzi</t>
  </si>
  <si>
    <t>Yusei Kikuchi</t>
  </si>
  <si>
    <t>Kevin Gausman</t>
  </si>
  <si>
    <t>Lance Lynn</t>
  </si>
  <si>
    <t>Juan Nicasio</t>
  </si>
  <si>
    <t>Ivan Nova</t>
  </si>
  <si>
    <t>Bryan Shaw</t>
  </si>
  <si>
    <t>Jake McGee</t>
  </si>
  <si>
    <t>Juan Lagares</t>
  </si>
  <si>
    <t>Jason Vargas</t>
  </si>
  <si>
    <t>Kelvin Herrera</t>
  </si>
  <si>
    <t>Trevor Cahill</t>
  </si>
  <si>
    <t>Adam Ottavino</t>
  </si>
  <si>
    <t>Brian Dozier</t>
  </si>
  <si>
    <t>Anibal Sanchez</t>
  </si>
  <si>
    <t>Todd Frazier</t>
  </si>
  <si>
    <t>Jacob deGrom</t>
  </si>
  <si>
    <t>Tommy Hunter</t>
  </si>
  <si>
    <t>Darren O'''Day</t>
  </si>
  <si>
    <t>Adam Eaton</t>
  </si>
  <si>
    <t>Kevin Kiermaier</t>
  </si>
  <si>
    <t>James Paxton</t>
  </si>
  <si>
    <t>Jackie Bradley Jr.</t>
  </si>
  <si>
    <t>Yonder Alonso</t>
  </si>
  <si>
    <t>Corey Dickerson</t>
  </si>
  <si>
    <t>Cody Allen</t>
  </si>
  <si>
    <t>Anthony Swarzak</t>
  </si>
  <si>
    <t>Jed Lowrie</t>
  </si>
  <si>
    <t>Addison Reed</t>
  </si>
  <si>
    <t>Rougned Odor</t>
  </si>
  <si>
    <t>Pat Neshek</t>
  </si>
  <si>
    <t>Kyle Gibson</t>
  </si>
  <si>
    <t>Miles Mikolas</t>
  </si>
  <si>
    <t>Jason Castro</t>
  </si>
  <si>
    <t>Michael Pineda</t>
  </si>
  <si>
    <t>Wilson Ramos</t>
  </si>
  <si>
    <t>Justin Smoak</t>
  </si>
  <si>
    <t>TOR</t>
  </si>
  <si>
    <t>CC Sabathia</t>
  </si>
  <si>
    <t>Joe Smith</t>
  </si>
  <si>
    <t>Chris Archer</t>
  </si>
  <si>
    <t>Cesar Hernandez</t>
  </si>
  <si>
    <t>Brett Cecil</t>
  </si>
  <si>
    <t>Welington Castillo</t>
  </si>
  <si>
    <t>Steve Cishek</t>
  </si>
  <si>
    <t>Sonny Gray</t>
  </si>
  <si>
    <t>Jonathan Schoop</t>
  </si>
  <si>
    <t>Brett Gardner</t>
  </si>
  <si>
    <t>Stephen Piscotty</t>
  </si>
  <si>
    <t>Brad Hand</t>
  </si>
  <si>
    <t>Kyle Hendricks</t>
  </si>
  <si>
    <t>Marcus Stroman</t>
  </si>
  <si>
    <t>Mike Dunn</t>
  </si>
  <si>
    <t>Alex Colome</t>
  </si>
  <si>
    <t>Eugenio Suarez</t>
  </si>
  <si>
    <t>Yan Gomes</t>
  </si>
  <si>
    <t>Dellin Betances</t>
  </si>
  <si>
    <t>David Peralta</t>
  </si>
  <si>
    <t>Derek Holland</t>
  </si>
  <si>
    <t>Drew Smyly</t>
  </si>
  <si>
    <t>Trevor Rosenthal</t>
  </si>
  <si>
    <t>Garrett Richards</t>
  </si>
  <si>
    <t>Chase Anderson</t>
  </si>
  <si>
    <t>Jhoulys Chacin</t>
  </si>
  <si>
    <t>Kolten Wong</t>
  </si>
  <si>
    <t>Gregory Polanco</t>
  </si>
  <si>
    <t>Jeurys Familia</t>
  </si>
  <si>
    <t>Mitch Moreland</t>
  </si>
  <si>
    <t>Roberto Osuna</t>
  </si>
  <si>
    <t>Joakim Soria</t>
  </si>
  <si>
    <t>Tony Watson</t>
  </si>
  <si>
    <t>Sean Doolittle</t>
  </si>
  <si>
    <t>Aaron Hicks</t>
  </si>
  <si>
    <t>Blake Treinen</t>
  </si>
  <si>
    <t>Michael Wacha</t>
  </si>
  <si>
    <t>Eric Thames</t>
  </si>
  <si>
    <t>Ken Giles</t>
  </si>
  <si>
    <t>Pedro Strop</t>
  </si>
  <si>
    <t>Steve Pearce</t>
  </si>
  <si>
    <t>Max Kepler</t>
  </si>
  <si>
    <t>Eduardo Escobar</t>
  </si>
  <si>
    <t>Robbie Ray</t>
  </si>
  <si>
    <t>Yusmeiro Petit</t>
  </si>
  <si>
    <t>Tyler Flowers</t>
  </si>
  <si>
    <t>Nick Markakis</t>
  </si>
  <si>
    <t>Raisel Iglesias</t>
  </si>
  <si>
    <t>Noah Syndergaard</t>
  </si>
  <si>
    <t>Mike Fiers</t>
  </si>
  <si>
    <t>Zack Wheeler</t>
  </si>
  <si>
    <t>Marcus Semien</t>
  </si>
  <si>
    <t>J.T. Realmuto</t>
  </si>
  <si>
    <t>Kevin Pillar</t>
  </si>
  <si>
    <t>Collin McHugh</t>
  </si>
  <si>
    <t>Robinson Chirinos</t>
  </si>
  <si>
    <t>Tyson Ross</t>
  </si>
  <si>
    <t>Ender Inciarte</t>
  </si>
  <si>
    <t>Wil Myers</t>
  </si>
  <si>
    <t>Aaron Nola</t>
  </si>
  <si>
    <t>Odubel Herrera</t>
  </si>
  <si>
    <t>Luke Gregerson</t>
  </si>
  <si>
    <t>Mike Foltynewicz</t>
  </si>
  <si>
    <t>Jordy Mercer</t>
  </si>
  <si>
    <t>Billy Hamilton</t>
  </si>
  <si>
    <t>A.J. Pollock</t>
  </si>
  <si>
    <t>Fernando Rodney</t>
  </si>
  <si>
    <t>Maikel Franco</t>
  </si>
  <si>
    <t>Javier Baez</t>
  </si>
  <si>
    <t>Luis Severino</t>
  </si>
  <si>
    <t>Corey Knebel</t>
  </si>
  <si>
    <t>Taijuan Walker</t>
  </si>
  <si>
    <t>Eduardo Nunez</t>
  </si>
  <si>
    <t>Brandon Kintzler</t>
  </si>
  <si>
    <t>Randal Grichuk</t>
  </si>
  <si>
    <t>Trevor Story</t>
  </si>
  <si>
    <t>Justin Wilson</t>
  </si>
  <si>
    <t>Sam Dyson</t>
  </si>
  <si>
    <t>Freddy Galvis</t>
  </si>
  <si>
    <t>Carlos Correa</t>
  </si>
  <si>
    <t>Joc Pederson</t>
  </si>
  <si>
    <t>Jonathan Villar</t>
  </si>
  <si>
    <t>Jake Lamb</t>
  </si>
  <si>
    <t>Arodys Vizcaino</t>
  </si>
  <si>
    <t>C.J. Cron</t>
  </si>
  <si>
    <t>Felipe Vazquez</t>
  </si>
  <si>
    <t>Travis Shaw</t>
  </si>
  <si>
    <t>Joe Kelly</t>
  </si>
  <si>
    <t>Jorge Soler</t>
  </si>
  <si>
    <t>Nate Jones</t>
  </si>
  <si>
    <t>Yolmer Sanchez</t>
  </si>
  <si>
    <t>Chris Iannetta</t>
  </si>
  <si>
    <t>Hector Rondon</t>
  </si>
  <si>
    <t>David Freese</t>
  </si>
  <si>
    <t>Wade Miley</t>
  </si>
  <si>
    <t>Danny Salazar</t>
  </si>
  <si>
    <t>Mike Zunino</t>
  </si>
  <si>
    <t>Eduardo Rodriguez</t>
  </si>
  <si>
    <t>Alex Avila</t>
  </si>
  <si>
    <t>Wilmer Flores</t>
  </si>
  <si>
    <t>Will Smith</t>
  </si>
  <si>
    <t>Will Harris</t>
  </si>
  <si>
    <t>Carlos Rodon</t>
  </si>
  <si>
    <t>Eddie Rosario</t>
  </si>
  <si>
    <t>Jorge Polanco</t>
  </si>
  <si>
    <t>Jose Ramirez</t>
  </si>
  <si>
    <t>Steven Souza Jr.</t>
  </si>
  <si>
    <t>Lance McCullers Jr.</t>
  </si>
  <si>
    <t>Tommy Pham</t>
  </si>
  <si>
    <t>Michael Conforto</t>
  </si>
  <si>
    <t>Shane Greene</t>
  </si>
  <si>
    <t>Corey Seager</t>
  </si>
  <si>
    <t>Marco Estrada</t>
  </si>
  <si>
    <t>Ian Kinsler</t>
  </si>
  <si>
    <t>Jesse Chavez</t>
  </si>
  <si>
    <t>Matt Adams</t>
  </si>
  <si>
    <t>Kurt Suzuki</t>
  </si>
  <si>
    <t>Howie Kendrick</t>
  </si>
  <si>
    <t>Martin Perez</t>
  </si>
  <si>
    <t>Jon Jay</t>
  </si>
  <si>
    <t>Aaron Sanchez</t>
  </si>
  <si>
    <t>Joe Panik</t>
  </si>
  <si>
    <t>Jarrod Dyson</t>
  </si>
  <si>
    <t>Trea Turner</t>
  </si>
  <si>
    <t>Kike Hernandez</t>
  </si>
  <si>
    <t>Tyler Skaggs</t>
  </si>
  <si>
    <t>Jimmy Nelson</t>
  </si>
  <si>
    <t>Nick Ahmed</t>
  </si>
  <si>
    <t>Jurickson Profar</t>
  </si>
  <si>
    <t>Brock Holt</t>
  </si>
  <si>
    <t>Travis d'Arnaud</t>
  </si>
  <si>
    <t>Asdrubal Cabrera</t>
  </si>
  <si>
    <t>Matt Shoemaker</t>
  </si>
  <si>
    <t>Avisail Garcia</t>
  </si>
  <si>
    <t>Chris Taylor</t>
  </si>
  <si>
    <t>Andrew Heaney</t>
  </si>
  <si>
    <t>Addison Russell</t>
  </si>
  <si>
    <t>Kyle Schwarber</t>
  </si>
  <si>
    <t>Jonathan Lucroy</t>
  </si>
  <si>
    <t>Chad Bettis</t>
  </si>
  <si>
    <t>Nomar Mazara</t>
  </si>
  <si>
    <t>Clayton Richard</t>
  </si>
  <si>
    <t>Yoshihisa Hirano</t>
  </si>
  <si>
    <t>Greg Holland</t>
  </si>
  <si>
    <t>Wily Peralta</t>
  </si>
  <si>
    <t>Jeff Mathis</t>
  </si>
  <si>
    <t>Michael A. Taylor</t>
  </si>
  <si>
    <t>Jose Urena</t>
  </si>
  <si>
    <t>Keone Kela</t>
  </si>
  <si>
    <t>Jeremy Jeffress</t>
  </si>
  <si>
    <t>Miguel Rojas</t>
  </si>
  <si>
    <t>Sean Manaea</t>
  </si>
  <si>
    <t>Kenta Maeda</t>
  </si>
  <si>
    <t>Brad Peacock</t>
  </si>
  <si>
    <t>Kirby Yates</t>
  </si>
  <si>
    <t>Leonys Martin</t>
  </si>
  <si>
    <t>Chris Owings</t>
  </si>
  <si>
    <t>Jung-ho Kang</t>
  </si>
  <si>
    <t>Brad Brach</t>
  </si>
  <si>
    <t>Adam Jones</t>
  </si>
  <si>
    <t>Clay Buchholz</t>
  </si>
  <si>
    <t>Tucker Barnhart</t>
  </si>
  <si>
    <t>Christian Vazquez</t>
  </si>
  <si>
    <t>Jon Gray</t>
  </si>
  <si>
    <t>Ryan Pressly</t>
  </si>
  <si>
    <t>Dylan Bundy</t>
  </si>
  <si>
    <t>Michael Fulmer</t>
  </si>
  <si>
    <t>Jose Peraza</t>
  </si>
  <si>
    <t>Wade LeBlanc</t>
  </si>
  <si>
    <t>Shawn Kelley</t>
  </si>
  <si>
    <t>Jake Diekman</t>
  </si>
  <si>
    <t>Lonnie Chisenhall</t>
  </si>
  <si>
    <t>Matt Duffy</t>
  </si>
  <si>
    <t>Tony Cingrani</t>
  </si>
  <si>
    <t>Miguel Sano</t>
  </si>
  <si>
    <t>Roberto Perez</t>
  </si>
  <si>
    <t>Steven Matz</t>
  </si>
  <si>
    <t>Tyler Anderson</t>
  </si>
  <si>
    <t>Matt Boyd</t>
  </si>
  <si>
    <t>Zach Davies</t>
  </si>
  <si>
    <t>Ketel Marte</t>
  </si>
  <si>
    <t>Matt Albers</t>
  </si>
  <si>
    <t>David Hernandez</t>
  </si>
  <si>
    <t>Matt Moore</t>
  </si>
  <si>
    <t>Oliver Perez</t>
  </si>
  <si>
    <t>James McCann</t>
  </si>
  <si>
    <t>Justin Bour</t>
  </si>
  <si>
    <t>Hernan Perez</t>
  </si>
  <si>
    <t>Adam Warren</t>
  </si>
  <si>
    <t>Martin Maldonado</t>
  </si>
  <si>
    <t>Sergio Romo</t>
  </si>
  <si>
    <t>Jose Iglesias</t>
  </si>
  <si>
    <t>Seunghwan Oh</t>
  </si>
  <si>
    <t>David Phelps</t>
  </si>
  <si>
    <t>Mike Montgomery</t>
  </si>
  <si>
    <t>Eloy Jimenez</t>
  </si>
  <si>
    <t>Craig Stammen</t>
  </si>
  <si>
    <t>Chris Martin</t>
  </si>
  <si>
    <t>Merrill Kelly</t>
  </si>
  <si>
    <t>Jonny Venters</t>
  </si>
  <si>
    <t>Jared Hughes</t>
  </si>
  <si>
    <t>Vince Velasquez</t>
  </si>
  <si>
    <t>Junior Guerra</t>
  </si>
  <si>
    <t>Jake Marisnick</t>
  </si>
  <si>
    <t>Brad Boxberger</t>
  </si>
  <si>
    <t>Mychal Givens</t>
  </si>
  <si>
    <t>Liam Hendriks</t>
  </si>
  <si>
    <t>Anthony DeSclafani</t>
  </si>
  <si>
    <t>Pedro Baez</t>
  </si>
  <si>
    <t>Austin Hedges</t>
  </si>
  <si>
    <t>Mark Canha</t>
  </si>
  <si>
    <t>Jordan Lyles</t>
  </si>
  <si>
    <t>Brian McCann</t>
  </si>
  <si>
    <t>Daniel Descalso</t>
  </si>
  <si>
    <t>Neil Walker</t>
  </si>
  <si>
    <t>Paul DeJong</t>
  </si>
  <si>
    <t>Adam Wainwright</t>
  </si>
  <si>
    <t>Shelby Miller</t>
  </si>
  <si>
    <t>Edinson Volquez</t>
  </si>
  <si>
    <t>Zach Duke</t>
  </si>
  <si>
    <t>Robbie Grossman</t>
  </si>
  <si>
    <t>Josh Harrison</t>
  </si>
  <si>
    <t>Derek Dietrich</t>
  </si>
  <si>
    <t>Aledmys Diaz</t>
  </si>
  <si>
    <t>Logan Forsythe</t>
  </si>
  <si>
    <t>Hunter Pence</t>
  </si>
  <si>
    <t>Michael Lorenzen</t>
  </si>
  <si>
    <t>Domingo Santana</t>
  </si>
  <si>
    <t>Andrew Chafin</t>
  </si>
  <si>
    <t>Lourdes Gurriel Jr.</t>
  </si>
  <si>
    <t>Jose Alvarez</t>
  </si>
  <si>
    <t>Devon Travis</t>
  </si>
  <si>
    <t>JC Ramirez</t>
  </si>
  <si>
    <t>Archie Bradley</t>
  </si>
  <si>
    <t>Hector Neris</t>
  </si>
  <si>
    <t>Austin Romine</t>
  </si>
  <si>
    <t>Blake Parker</t>
  </si>
  <si>
    <t>Francisco Liriano</t>
  </si>
  <si>
    <t>Tyler Thornburg</t>
  </si>
  <si>
    <t>Cam Bedrosian</t>
  </si>
  <si>
    <t>Byron Buxton</t>
  </si>
  <si>
    <t>Tim Beckham</t>
  </si>
  <si>
    <t>Manny Pina</t>
  </si>
  <si>
    <t>Curtis Granderson</t>
  </si>
  <si>
    <t>Gerardo Parra</t>
  </si>
  <si>
    <t>Yangervis Solarte</t>
  </si>
  <si>
    <t>Kyle Barraclough</t>
  </si>
  <si>
    <t>Jose Leclerc</t>
  </si>
  <si>
    <t>Chris Rusin</t>
  </si>
  <si>
    <t>Luis Garcia</t>
  </si>
  <si>
    <t>Scott Kingery</t>
  </si>
  <si>
    <t>Matt Barnes</t>
  </si>
  <si>
    <t>Blake Snell</t>
  </si>
  <si>
    <t>Luis Avilan</t>
  </si>
  <si>
    <t>Leury Garcia</t>
  </si>
  <si>
    <t>Taylor Rogers</t>
  </si>
  <si>
    <t>Chris Devenski</t>
  </si>
  <si>
    <t>Ryan Tepera</t>
  </si>
  <si>
    <t>Carl Edwards Jr.</t>
  </si>
  <si>
    <t>Cory Gearrin</t>
  </si>
  <si>
    <t>Drew Pomeranz</t>
  </si>
  <si>
    <t>Brett Anderson</t>
  </si>
  <si>
    <t>Matt Wieters</t>
  </si>
  <si>
    <t>Daniel Hudson</t>
  </si>
  <si>
    <t>Robbie Erlin</t>
  </si>
  <si>
    <t>T.J. McFarland</t>
  </si>
  <si>
    <t>Tim Anderson</t>
  </si>
  <si>
    <t>Ryan Buchter</t>
  </si>
  <si>
    <t>Hansel Robles</t>
  </si>
  <si>
    <t>Delino DeShields</t>
  </si>
  <si>
    <t>Aaron Loup</t>
  </si>
  <si>
    <t>Charlie Culberson</t>
  </si>
  <si>
    <t>Tommy Kahnle</t>
  </si>
  <si>
    <t>Steven Wright</t>
  </si>
  <si>
    <t>Dan Otero</t>
  </si>
  <si>
    <t>Aaron Altherr</t>
  </si>
  <si>
    <t>Tommy La Stella</t>
  </si>
  <si>
    <t>Heath Hembree</t>
  </si>
  <si>
    <t>Blaine Hardy</t>
  </si>
  <si>
    <t>Scott Oberg</t>
  </si>
  <si>
    <t>Brandon Drury</t>
  </si>
  <si>
    <t>Ehire Adrianza</t>
  </si>
  <si>
    <t>Hunter Strickland</t>
  </si>
  <si>
    <t>Jeremy Hellickson</t>
  </si>
  <si>
    <t>Daniel Norris</t>
  </si>
  <si>
    <t>Chaz Roe</t>
  </si>
  <si>
    <t>Alex Claudio</t>
  </si>
  <si>
    <t>Dominic Leone</t>
  </si>
  <si>
    <t>Tony Sipp</t>
  </si>
  <si>
    <t>Nick Hundley</t>
  </si>
  <si>
    <t>Matt Joyce</t>
  </si>
  <si>
    <t>Lucas Duda</t>
  </si>
  <si>
    <t>Josh Tomlin</t>
  </si>
  <si>
    <t>Greg Bird</t>
  </si>
  <si>
    <t>Erik Kratz</t>
  </si>
  <si>
    <t>Whit Merrifield</t>
  </si>
  <si>
    <t>Brandon Lowe</t>
  </si>
  <si>
    <t>Travis Jankowski</t>
  </si>
  <si>
    <t>Brandon Workman</t>
  </si>
  <si>
    <t>Melky Cabrera</t>
  </si>
  <si>
    <t>Kevin Plawecki</t>
  </si>
  <si>
    <t>Jose Martinez</t>
  </si>
  <si>
    <t>Adam Conley</t>
  </si>
  <si>
    <t>Adam Morgan</t>
  </si>
  <si>
    <t>Josh Phegley</t>
  </si>
  <si>
    <t>Nick Tropeano</t>
  </si>
  <si>
    <t>Neil Ramirez</t>
  </si>
  <si>
    <t>Brad Miller</t>
  </si>
  <si>
    <t>Mark Reynolds</t>
  </si>
  <si>
    <t>Chris Herrmann</t>
  </si>
  <si>
    <t>Jeanmar Gomez</t>
  </si>
  <si>
    <t>Peter Bourjos</t>
  </si>
  <si>
    <t>Hanley Ramirez</t>
  </si>
  <si>
    <t>Tony Wolters</t>
  </si>
  <si>
    <t>Curt Casali</t>
  </si>
  <si>
    <t>Matt Andriese</t>
  </si>
  <si>
    <t>Blake Swihart</t>
  </si>
  <si>
    <t>Roenis Elias</t>
  </si>
  <si>
    <t>Greg Garcia</t>
  </si>
  <si>
    <t>John Ryan Murphy</t>
  </si>
  <si>
    <t>Joe Biagini</t>
  </si>
  <si>
    <t>Trevor May</t>
  </si>
  <si>
    <t>Marco Gonzales</t>
  </si>
  <si>
    <t>Xavier Cedeno</t>
  </si>
  <si>
    <t>Jesus Sucre</t>
  </si>
  <si>
    <t>Ji-Man Choi</t>
  </si>
  <si>
    <t>Nate Karns</t>
  </si>
  <si>
    <t>Jesse Hahn</t>
  </si>
  <si>
    <t>Brian Flynn</t>
  </si>
  <si>
    <t>Guillermo Heredia</t>
  </si>
  <si>
    <t>Tony Barnette</t>
  </si>
  <si>
    <t>Alex Wilson</t>
  </si>
  <si>
    <t>Andrew Benintendi</t>
  </si>
  <si>
    <t>Yimi Garcia</t>
  </si>
  <si>
    <t>Gordon Beckham</t>
  </si>
  <si>
    <t>J.B. Shuck</t>
  </si>
  <si>
    <t>Josh Hader</t>
  </si>
  <si>
    <t>Aaron Judge</t>
  </si>
  <si>
    <t>Willson Contreras</t>
  </si>
  <si>
    <t>Niko Goodrum</t>
  </si>
  <si>
    <t>Gary Sanchez</t>
  </si>
  <si>
    <t>Shohei Ohtani</t>
  </si>
  <si>
    <t>Richard Rodriguez</t>
  </si>
  <si>
    <t>Scott Barlow</t>
  </si>
  <si>
    <t>Terrance Gore</t>
  </si>
  <si>
    <t>Alex Bregman</t>
  </si>
  <si>
    <t>Jesus Aguilar</t>
  </si>
  <si>
    <t>Scott Schebler</t>
  </si>
  <si>
    <t>Jose Berrios</t>
  </si>
  <si>
    <t>Miguel Andujar</t>
  </si>
  <si>
    <t>Albert Almora Jr.</t>
  </si>
  <si>
    <t>Rafael Devers</t>
  </si>
  <si>
    <t>Zac Rosscup</t>
  </si>
  <si>
    <t>Zack Godley</t>
  </si>
  <si>
    <t>Edwin Diaz</t>
  </si>
  <si>
    <t>Joey Gallo</t>
  </si>
  <si>
    <t>Gleyber Torres</t>
  </si>
  <si>
    <t>Cody Bellinger</t>
  </si>
  <si>
    <t>Chad Green</t>
  </si>
  <si>
    <t>Brandon Nimmo</t>
  </si>
  <si>
    <t>Nick Pivetta</t>
  </si>
  <si>
    <t>Jordan Montgomery</t>
  </si>
  <si>
    <t>Ross Stripling</t>
  </si>
  <si>
    <t>Justin Miller</t>
  </si>
  <si>
    <t>Mike Clevinger</t>
  </si>
  <si>
    <t>Seth Lugo</t>
  </si>
  <si>
    <t>Max Stassi</t>
  </si>
  <si>
    <t>Mitch Haniger</t>
  </si>
  <si>
    <t>Zach Eflin</t>
  </si>
  <si>
    <t>Jameson Taillon</t>
  </si>
  <si>
    <t>Josh Bell</t>
  </si>
  <si>
    <t>Brian Anderson</t>
  </si>
  <si>
    <t>Dansby Swanson</t>
  </si>
  <si>
    <t>Luke Jackson</t>
  </si>
  <si>
    <t>Adam Frazier</t>
  </si>
  <si>
    <t>Trevor Williams</t>
  </si>
  <si>
    <t>Tony Kemp</t>
  </si>
  <si>
    <t>Brian Goodwin</t>
  </si>
  <si>
    <t>Tyler White</t>
  </si>
  <si>
    <t>Robert Gsellman</t>
  </si>
  <si>
    <t>Joe Musgrove</t>
  </si>
  <si>
    <t>Hunter Renfroe</t>
  </si>
  <si>
    <t>Matt Strahm</t>
  </si>
  <si>
    <t>Kyle Crick</t>
  </si>
  <si>
    <t>Edgar Santana</t>
  </si>
  <si>
    <t>Luke Weaver</t>
  </si>
  <si>
    <t>Omar Narvaez</t>
  </si>
  <si>
    <t>Wilmer Difo</t>
  </si>
  <si>
    <t>Jonathan Holder</t>
  </si>
  <si>
    <t>Matt Chapman</t>
  </si>
  <si>
    <t>Jesse Winker</t>
  </si>
  <si>
    <t>Reynaldo Lopez</t>
  </si>
  <si>
    <t>Ryon Healy</t>
  </si>
  <si>
    <t>Colin Moran</t>
  </si>
  <si>
    <t>Sam Gaviglio</t>
  </si>
  <si>
    <t>Luke Maile</t>
  </si>
  <si>
    <t>Luis Cessa</t>
  </si>
  <si>
    <t>Teoscar Hernandez</t>
  </si>
  <si>
    <t>Elias Diaz</t>
  </si>
  <si>
    <t>Mallex Smith</t>
  </si>
  <si>
    <t>Harrison Bader</t>
  </si>
  <si>
    <t>Juan Soto</t>
  </si>
  <si>
    <t>Jakob Junis</t>
  </si>
  <si>
    <t>Kevin McCarthy</t>
  </si>
  <si>
    <t>Brad Keller</t>
  </si>
  <si>
    <t>Hanser Alberto</t>
  </si>
  <si>
    <t>Chad Kuhl</t>
  </si>
  <si>
    <t>Domingo German</t>
  </si>
  <si>
    <t>Ryan Brasier</t>
  </si>
  <si>
    <t>Manuel Margot</t>
  </si>
  <si>
    <t>Erik Gonzalez</t>
  </si>
  <si>
    <t>Matt Grace</t>
  </si>
  <si>
    <t>Adalberto Mondesi</t>
  </si>
  <si>
    <t>Amed Rosario</t>
  </si>
  <si>
    <t>Trey Mancini</t>
  </si>
  <si>
    <t>Ozzie Albies</t>
  </si>
  <si>
    <t>Jesse Biddle</t>
  </si>
  <si>
    <t>Rhys Hoskins</t>
  </si>
  <si>
    <t>Johan Camargo</t>
  </si>
  <si>
    <t>Sean Newcomb</t>
  </si>
  <si>
    <t>Shane Carle</t>
  </si>
  <si>
    <t>A.J. Minter</t>
  </si>
  <si>
    <t>Brian Johnson</t>
  </si>
  <si>
    <t>Kendall Graveman</t>
  </si>
  <si>
    <t>Yoan Moncada</t>
  </si>
  <si>
    <t>Max Muncy</t>
  </si>
  <si>
    <t>Austin Barnes</t>
  </si>
  <si>
    <t>Scott Alexander</t>
  </si>
  <si>
    <t>Drew Steckenrider</t>
  </si>
  <si>
    <t>Mitch Garver</t>
  </si>
  <si>
    <t>Nick Williams</t>
  </si>
  <si>
    <t>Brandon Brennan</t>
  </si>
  <si>
    <t>Luke Bard</t>
  </si>
  <si>
    <t>Matt Olson</t>
  </si>
  <si>
    <t>Tyler Naquin</t>
  </si>
  <si>
    <t>Silvino Bracho</t>
  </si>
  <si>
    <t>Steven Brault</t>
  </si>
  <si>
    <t>Mikie Mahtook</t>
  </si>
  <si>
    <t>Edubray Ramos</t>
  </si>
  <si>
    <t>Jose Osuna</t>
  </si>
  <si>
    <t>Luke Voit</t>
  </si>
  <si>
    <t>Tim Hill</t>
  </si>
  <si>
    <t>Lucas Giolito</t>
  </si>
  <si>
    <t>Richard Bleier</t>
  </si>
  <si>
    <t>Kevan Smith</t>
  </si>
  <si>
    <t>Jake Cave</t>
  </si>
  <si>
    <t>Trevor Hildenberger</t>
  </si>
  <si>
    <t>Keon Broxton</t>
  </si>
  <si>
    <t>John Gant</t>
  </si>
  <si>
    <t>Adam Engel</t>
  </si>
  <si>
    <t>Dylan Covey</t>
  </si>
  <si>
    <t>Buck Farmer</t>
  </si>
  <si>
    <t>Jose Alvarado</t>
  </si>
  <si>
    <t>Max Moroff</t>
  </si>
  <si>
    <t>Franmil Reyes</t>
  </si>
  <si>
    <t>Joey Wendle</t>
  </si>
  <si>
    <t>Daniel R.  Robertson</t>
  </si>
  <si>
    <t>Jorge Alfaro</t>
  </si>
  <si>
    <t>Walker Buehler</t>
  </si>
  <si>
    <t>Joey Rickard</t>
  </si>
  <si>
    <t>Tyler Mahle</t>
  </si>
  <si>
    <t>Wandy Peralta</t>
  </si>
  <si>
    <t>Lewis Brinson</t>
  </si>
  <si>
    <t>Trevor Richards</t>
  </si>
  <si>
    <t>Ronald Guzman</t>
  </si>
  <si>
    <t>Victor Caratini</t>
  </si>
  <si>
    <t>Isiah Kiner-Falefa</t>
  </si>
  <si>
    <t>John Brebbia</t>
  </si>
  <si>
    <t>Joe Jimenez</t>
  </si>
  <si>
    <t>Miguel Castro</t>
  </si>
  <si>
    <t>Jace Fry</t>
  </si>
  <si>
    <t>Felix Pena</t>
  </si>
  <si>
    <t>Noe Ramirez</t>
  </si>
  <si>
    <t>Nick Kingham</t>
  </si>
  <si>
    <t>Dovydas Neverauskas</t>
  </si>
  <si>
    <t>Tyler Austin</t>
  </si>
  <si>
    <t>Sam Tuivailala</t>
  </si>
  <si>
    <t>Hector Velazquez</t>
  </si>
  <si>
    <t>Brent Suter</t>
  </si>
  <si>
    <t>Tim Mayza</t>
  </si>
  <si>
    <t>Eric Skoglund</t>
  </si>
  <si>
    <t>Jeff McNeil</t>
  </si>
  <si>
    <t>Ben Gamel</t>
  </si>
  <si>
    <t>Matt Koch</t>
  </si>
  <si>
    <t>Jacob Barnes</t>
  </si>
  <si>
    <t>Amir Garrett</t>
  </si>
  <si>
    <t>Mike Wright</t>
  </si>
  <si>
    <t>Reyes Moronta</t>
  </si>
  <si>
    <t>Chris Stratton</t>
  </si>
  <si>
    <t>Trevor Gott</t>
  </si>
  <si>
    <t>Drew VerHagen</t>
  </si>
  <si>
    <t>Hunter Dozier</t>
  </si>
  <si>
    <t>JaCoby Jones</t>
  </si>
  <si>
    <t>John Hicks</t>
  </si>
  <si>
    <t>Daniel Palka</t>
  </si>
  <si>
    <t>Josh James</t>
  </si>
  <si>
    <t>Tyler Glasnow</t>
  </si>
  <si>
    <t>Dinelson Lamet</t>
  </si>
  <si>
    <t>Framber Valdez</t>
  </si>
  <si>
    <t>Daniel Stumpf</t>
  </si>
  <si>
    <t>Orlando Arcia</t>
  </si>
  <si>
    <t>Pablo Reyes</t>
  </si>
  <si>
    <t>Ryan Borucki</t>
  </si>
  <si>
    <t>Joey Lucchesi</t>
  </si>
  <si>
    <t>Dylan Moore</t>
  </si>
  <si>
    <t>Dylan Floro</t>
  </si>
  <si>
    <t>Max Fried</t>
  </si>
  <si>
    <t>German Marquez</t>
  </si>
  <si>
    <t>Julio Urias</t>
  </si>
  <si>
    <t>Bryse Wilson</t>
  </si>
  <si>
    <t>Kyle Wright</t>
  </si>
  <si>
    <t>Chad Sobotka</t>
  </si>
  <si>
    <t>Wes Parsons</t>
  </si>
  <si>
    <t>Kyle Freeland</t>
  </si>
  <si>
    <t>Chad Pinder</t>
  </si>
  <si>
    <t>Tayron Guerrero</t>
  </si>
  <si>
    <t>Jharel Cotton</t>
  </si>
  <si>
    <t>Andrew Knapp</t>
  </si>
  <si>
    <t>Chris Bassitt</t>
  </si>
  <si>
    <t>Brock Stewart</t>
  </si>
  <si>
    <t>Robert Stephenson</t>
  </si>
  <si>
    <t>Alex Reyes</t>
  </si>
  <si>
    <t>Freddy Peralta</t>
  </si>
  <si>
    <t>Jordan Luplow</t>
  </si>
  <si>
    <t>Koda Glover</t>
  </si>
  <si>
    <t>Ryne Stanek</t>
  </si>
  <si>
    <t>Drew Robinson</t>
  </si>
  <si>
    <t>Marco Hernandez</t>
  </si>
  <si>
    <t>Seranthony Dominguez</t>
  </si>
  <si>
    <t>Jacob Stallings</t>
  </si>
  <si>
    <t>Tyler O'Neill</t>
  </si>
  <si>
    <t>Randy Rosario</t>
  </si>
  <si>
    <t>Adam Cimber</t>
  </si>
  <si>
    <t>Taylor Williams</t>
  </si>
  <si>
    <t>Mike Mayers</t>
  </si>
  <si>
    <t>Pedro Severino</t>
  </si>
  <si>
    <t>David Hess</t>
  </si>
  <si>
    <t>Keynan Middleton</t>
  </si>
  <si>
    <t>Ryan Yarbrough</t>
  </si>
  <si>
    <t>Phil Maton</t>
  </si>
  <si>
    <t>Corbin Burnes</t>
  </si>
  <si>
    <t>Dalton Pompey</t>
  </si>
  <si>
    <t>Eric Lauer</t>
  </si>
  <si>
    <t>Wander Suero</t>
  </si>
  <si>
    <t>Willy Adames</t>
  </si>
  <si>
    <t>Chasen Bradford</t>
  </si>
  <si>
    <t>Jorge Lopez</t>
  </si>
  <si>
    <t>Jack Flaherty</t>
  </si>
  <si>
    <t>Renato Nunez</t>
  </si>
  <si>
    <t>Yairo Munoz</t>
  </si>
  <si>
    <t>Richard Urena</t>
  </si>
  <si>
    <t>Yonny Chirinos</t>
  </si>
  <si>
    <t>David Bote</t>
  </si>
  <si>
    <t>David Fletcher</t>
  </si>
  <si>
    <t>Justin Anderson</t>
  </si>
  <si>
    <t>Diego Castillo</t>
  </si>
  <si>
    <t>J.D. Davis</t>
  </si>
  <si>
    <t>Brandon Woodruff</t>
  </si>
  <si>
    <t>Dereck Rodriguez</t>
  </si>
  <si>
    <t>Bradley Zimmer</t>
  </si>
  <si>
    <t>Socrates Brito</t>
  </si>
  <si>
    <t>Tyler Olson</t>
  </si>
  <si>
    <t>Adam Kolarek</t>
  </si>
  <si>
    <t>Jake Bauers</t>
  </si>
  <si>
    <t>Greg Allen</t>
  </si>
  <si>
    <t>Miguel Diaz</t>
  </si>
  <si>
    <t>Wilmer Font</t>
  </si>
  <si>
    <t>Jose Castillo</t>
  </si>
  <si>
    <t>Franchy Cordero</t>
  </si>
  <si>
    <t>Dwight Smith Jr.</t>
  </si>
  <si>
    <t>Thomas Pannone</t>
  </si>
  <si>
    <t>Ronald Acuna Jr.</t>
  </si>
  <si>
    <t>Carson Kelly</t>
  </si>
  <si>
    <t>David Dahl</t>
  </si>
  <si>
    <t>Ryan McMahon</t>
  </si>
  <si>
    <t>Raimel Tapia</t>
  </si>
  <si>
    <t>Antonio Senzatela</t>
  </si>
  <si>
    <t>Jose Rondon</t>
  </si>
  <si>
    <t>Alex Verdugo</t>
  </si>
  <si>
    <t>Caleb Ferguson</t>
  </si>
  <si>
    <t>JT Riddle</t>
  </si>
  <si>
    <t>Rosell Herrera</t>
  </si>
  <si>
    <t>Willians Astudillo</t>
  </si>
  <si>
    <t>Adalberto Mejia</t>
  </si>
  <si>
    <t>Matt Magill</t>
  </si>
  <si>
    <t>Gabriel Moya</t>
  </si>
  <si>
    <t>Daniel Gossett</t>
  </si>
  <si>
    <t>Frankie Montas</t>
  </si>
  <si>
    <t>Aaron Brooks</t>
  </si>
  <si>
    <t>Robert Stock</t>
  </si>
  <si>
    <t>Christian Walker</t>
  </si>
  <si>
    <t>Shane Bieber</t>
  </si>
  <si>
    <t>Billy McKinney</t>
  </si>
  <si>
    <t>Dominic Smith</t>
  </si>
  <si>
    <t>Nick Rumbelow</t>
  </si>
  <si>
    <t>Shawn Armstrong</t>
  </si>
  <si>
    <t>Dakota Hudson</t>
  </si>
  <si>
    <t>Victor Alcantara</t>
  </si>
  <si>
    <t>Andrew Stevenson</t>
  </si>
  <si>
    <t>Paul Fry</t>
  </si>
  <si>
    <t>Jimmy Yacabonis</t>
  </si>
  <si>
    <t>Manny Banuelos</t>
  </si>
  <si>
    <t>Roman Quinn</t>
  </si>
  <si>
    <t>Nick Burdi</t>
  </si>
  <si>
    <t>Danny Jansen</t>
  </si>
  <si>
    <t>Grayson Greiner</t>
  </si>
  <si>
    <t>Daniel Vogelbach</t>
  </si>
  <si>
    <t>Rio Ruiz</t>
  </si>
  <si>
    <t>Sam Travis</t>
  </si>
  <si>
    <t>David Freitas</t>
  </si>
  <si>
    <t>Bobby Wahl</t>
  </si>
  <si>
    <t>Yandy Diaz</t>
  </si>
  <si>
    <t>Steven Duggar</t>
  </si>
  <si>
    <t>Austin Wynns</t>
  </si>
  <si>
    <t>Jose De Leon</t>
  </si>
  <si>
    <t>Yohander Mendez</t>
  </si>
  <si>
    <t>Luke Farrell</t>
  </si>
  <si>
    <t>Victor Robles</t>
  </si>
  <si>
    <t>Ryan O'Hearn</t>
  </si>
  <si>
    <t>Cedric Mullins</t>
  </si>
  <si>
    <t>Kyle Farmer</t>
  </si>
  <si>
    <t>Alex Blandino</t>
  </si>
  <si>
    <t>Taylor Cole</t>
  </si>
  <si>
    <t>Drew Smith</t>
  </si>
  <si>
    <t>Nick Martini</t>
  </si>
  <si>
    <t>Lou Trivino</t>
  </si>
  <si>
    <t>J.B. Wendelken</t>
  </si>
  <si>
    <t>Ramon Laureano</t>
  </si>
  <si>
    <t>Kevin Newman</t>
  </si>
  <si>
    <t>Michael Reed</t>
  </si>
  <si>
    <t>Austin Meadows</t>
  </si>
  <si>
    <t>Stephen Tarpley</t>
  </si>
  <si>
    <t>Ty Buttrey</t>
  </si>
  <si>
    <t>Trey Wingenter</t>
  </si>
  <si>
    <t>Cam Gallagher</t>
  </si>
  <si>
    <t>Pedro Araujo</t>
  </si>
  <si>
    <t>Colten Brewer</t>
  </si>
  <si>
    <t>Garrett Hampson</t>
  </si>
  <si>
    <t>DJ Johnson</t>
  </si>
  <si>
    <t>Harrison Musgrave</t>
  </si>
  <si>
    <t>Mike Tauchman</t>
  </si>
  <si>
    <t>Jeffrey Springs</t>
  </si>
  <si>
    <t>Yoan Lopez</t>
  </si>
  <si>
    <t>Jacob Nix</t>
  </si>
  <si>
    <t>Anthony Banda</t>
  </si>
  <si>
    <t>Michael Perez</t>
  </si>
  <si>
    <t>Mark Zagunis</t>
  </si>
  <si>
    <t>Caleb Smith</t>
  </si>
  <si>
    <t>Jalen Beeks</t>
  </si>
  <si>
    <t>Jonathan Davis</t>
  </si>
  <si>
    <t>Michael Hermosillo</t>
  </si>
  <si>
    <t>Christin Stewart</t>
  </si>
  <si>
    <t>Francisco Mejia</t>
  </si>
  <si>
    <t>Tomas Nido</t>
  </si>
  <si>
    <t>Spencer Turnbull</t>
  </si>
  <si>
    <t>Ryan Burr</t>
  </si>
  <si>
    <t>Ian Hamilton</t>
  </si>
  <si>
    <t>Brett Kennedy</t>
  </si>
  <si>
    <t>Luis Guillorme</t>
  </si>
  <si>
    <t>Jon Edwards</t>
  </si>
  <si>
    <t>John Means</t>
  </si>
  <si>
    <t>Matt Festa</t>
  </si>
  <si>
    <t>Trevor Oaks</t>
  </si>
  <si>
    <t>Gerson Bautista</t>
  </si>
  <si>
    <t>Justin Williams</t>
  </si>
  <si>
    <t>Troy Tulowitzki</t>
  </si>
  <si>
    <t>Jordan Hicks</t>
  </si>
  <si>
    <t>Chris Paddack</t>
  </si>
  <si>
    <t>Richie Martin</t>
  </si>
  <si>
    <t>Michael Kopech</t>
  </si>
  <si>
    <t>Drew Jackson</t>
  </si>
  <si>
    <t>Eric Stamets</t>
  </si>
  <si>
    <t>Caleb Frare</t>
  </si>
  <si>
    <t>Kyle Zimmer</t>
  </si>
  <si>
    <t>Chris Ellis</t>
  </si>
  <si>
    <t>Ben Heller</t>
  </si>
  <si>
    <t>Garrett Cooper</t>
  </si>
  <si>
    <t>Chad Wallach</t>
  </si>
  <si>
    <t>Pablo Lopez</t>
  </si>
  <si>
    <t>Sandy Alcantara</t>
  </si>
  <si>
    <t>Tyler Kinley</t>
  </si>
  <si>
    <t>Nick Anderson</t>
  </si>
  <si>
    <t>Austin Brice</t>
  </si>
  <si>
    <t>Julian Fernandez</t>
  </si>
  <si>
    <t>Riley Ferrell</t>
  </si>
  <si>
    <t>Reed Garrett</t>
  </si>
  <si>
    <t>Gregory Soto</t>
  </si>
  <si>
    <t>Travis Bergen</t>
  </si>
  <si>
    <t>Connor Joe</t>
  </si>
  <si>
    <t>Scott Heineman</t>
  </si>
  <si>
    <t>Trent Thornton</t>
  </si>
  <si>
    <t>Elvis Luciano</t>
  </si>
  <si>
    <t>Kyle Dowdy</t>
  </si>
  <si>
    <t>Ryan Cordell</t>
  </si>
  <si>
    <t>Kyle Bird</t>
  </si>
  <si>
    <t>Javy Guerra</t>
  </si>
  <si>
    <t>Fernando Tatis Jr.</t>
  </si>
  <si>
    <t>Dustin Peterson</t>
  </si>
  <si>
    <t>Pete Alonso</t>
  </si>
  <si>
    <t>Tim Peterson</t>
  </si>
  <si>
    <t>Jake Noll</t>
  </si>
  <si>
    <t>Frank Schwindel</t>
  </si>
  <si>
    <t>Nick Vincent</t>
  </si>
  <si>
    <t>Rowdy Tellez</t>
  </si>
  <si>
    <t>Ildemaro Vargas</t>
  </si>
  <si>
    <t>Ryne Harper</t>
  </si>
  <si>
    <t xml:space="preserve">Last argument </t>
  </si>
  <si>
    <t>+1 first to last</t>
  </si>
  <si>
    <t>-1 Last to First</t>
  </si>
  <si>
    <t>2 = Wildcardmatch</t>
  </si>
  <si>
    <t>0=Exact Match</t>
  </si>
  <si>
    <t>LOOKUP MIKE TROUT INFO</t>
  </si>
  <si>
    <t>LOOKUP MIKE TROUT AS WILDCARD</t>
  </si>
  <si>
    <t>LOOKUP INFO ON EXACT MATCH OR FIRST ONE NOT  &gt;=$25M</t>
  </si>
  <si>
    <t>LOOKING UP TOP TO BOTTOM +1;</t>
  </si>
  <si>
    <t>-1 BOTTOM TO TOP</t>
  </si>
  <si>
    <t>WILDCARD MATCH</t>
  </si>
  <si>
    <t>XLOOKUP(LOOKUPVALUE,lookuparray,returnarray,[if_not_found],[match_mode],[search_mode])</t>
  </si>
  <si>
    <t>`</t>
  </si>
  <si>
    <t xml:space="preserve"> </t>
  </si>
  <si>
    <t>LAST ONE MAKING &gt;=29.5m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</si>
</sst>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1" fillId="2" borderId="0" xfId="0" quotePrefix="1" applyFont="1" applyFill="1"/>
    <xf numFmtId="0" fontId="1" fillId="5" borderId="0" xfId="0" applyFont="1" applyFill="1"/>
    <xf numFmtId="0" fontId="1" fillId="7" borderId="0" xfId="0" applyFont="1" applyFill="1"/>
    <xf numFmtId="0" fontId="1" fillId="7" borderId="0" xfId="0" quotePrefix="1" applyFont="1" applyFill="1"/>
    <xf numFmtId="0" fontId="1" fillId="6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8" borderId="0" xfId="0" quotePrefix="1" applyFont="1" applyFill="1"/>
    <xf numFmtId="3" fontId="1" fillId="0" borderId="0" xfId="0" applyNumberFormat="1" applyFont="1"/>
    <xf numFmtId="0" fontId="2" fillId="6" borderId="0" xfId="0" applyFont="1" applyFill="1"/>
    <xf numFmtId="0" fontId="1" fillId="10" borderId="0" xfId="0" quotePrefix="1" applyFont="1" applyFill="1"/>
    <xf numFmtId="0" fontId="1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374B-0167-4D16-AD20-F763D51B0C22}">
  <sheetPr>
    <pageSetUpPr fitToPage="1"/>
  </sheetPr>
  <dimension ref="B1:U880"/>
  <sheetViews>
    <sheetView tabSelected="1" topLeftCell="G1" zoomScale="120" zoomScaleNormal="120" workbookViewId="0">
      <selection activeCell="K11" sqref="K11"/>
    </sheetView>
  </sheetViews>
  <sheetFormatPr defaultColWidth="8.796875" defaultRowHeight="14.4" x14ac:dyDescent="0.3"/>
  <cols>
    <col min="1" max="2" width="8.796875" style="1"/>
    <col min="3" max="3" width="19.09765625" style="1" customWidth="1"/>
    <col min="4" max="5" width="8.796875" style="1"/>
    <col min="6" max="6" width="9.8984375" style="1" bestFit="1" customWidth="1"/>
    <col min="7" max="8" width="8.796875" style="1"/>
    <col min="9" max="9" width="15.59765625" style="1" customWidth="1"/>
    <col min="10" max="10" width="26.796875" style="1" customWidth="1"/>
    <col min="11" max="11" width="10.796875" style="1" customWidth="1"/>
    <col min="12" max="12" width="8.796875" style="1"/>
    <col min="13" max="13" width="19" style="1" customWidth="1"/>
    <col min="14" max="14" width="20.8984375" style="1" bestFit="1" customWidth="1"/>
    <col min="15" max="15" width="20.8984375" style="1" customWidth="1"/>
    <col min="16" max="16" width="8.796875" style="1"/>
    <col min="17" max="17" width="44.8984375" style="1" customWidth="1"/>
    <col min="18" max="18" width="54.3984375" style="1" bestFit="1" customWidth="1"/>
    <col min="19" max="16384" width="8.796875" style="1"/>
  </cols>
  <sheetData>
    <row r="1" spans="3:21" x14ac:dyDescent="0.3">
      <c r="J1" s="2" t="s">
        <v>934</v>
      </c>
      <c r="P1" s="3"/>
      <c r="Q1" s="3" t="str">
        <f ca="1">_xlfn.FORMULATEXT(P3)</f>
        <v>=XLOOKUP(P2,C4:C880,D4:F880,"no answer",0)</v>
      </c>
      <c r="R1" s="3" t="str">
        <f ca="1">_xlfn.FORMULATEXT(P3)</f>
        <v>=XLOOKUP(P2,C4:C880,D4:F880,"no answer",0)</v>
      </c>
      <c r="S1" s="3"/>
      <c r="T1" s="3"/>
    </row>
    <row r="2" spans="3:21" x14ac:dyDescent="0.3">
      <c r="P2" s="3" t="s">
        <v>8</v>
      </c>
      <c r="Q2" s="3"/>
      <c r="R2" s="3"/>
    </row>
    <row r="3" spans="3:21" x14ac:dyDescent="0.3">
      <c r="C3" s="1" t="s">
        <v>0</v>
      </c>
      <c r="D3" s="1" t="s">
        <v>1</v>
      </c>
      <c r="E3" s="1" t="s">
        <v>2</v>
      </c>
      <c r="F3" s="1" t="s">
        <v>3</v>
      </c>
      <c r="K3" s="4" t="str">
        <f ca="1">_xlfn.FORMULATEXT(K5)</f>
        <v>=XLOOKUP("Mike Trout",C4:C880,C4:F880,"no answer",0)</v>
      </c>
      <c r="L3" s="4"/>
      <c r="M3" s="4"/>
      <c r="N3" s="4"/>
      <c r="O3" s="4"/>
      <c r="P3" s="3" t="str" cm="1">
        <f t="array" ref="P3:R3">_xlfn.XLOOKUP(P2,C4:C880,D4:F880,"no answer",0)</f>
        <v>LAA</v>
      </c>
      <c r="Q3" s="3" t="str">
        <v>CF</v>
      </c>
      <c r="R3" s="3">
        <v>34083333</v>
      </c>
    </row>
    <row r="4" spans="3:21" x14ac:dyDescent="0.3">
      <c r="C4" s="1" t="s">
        <v>4</v>
      </c>
      <c r="D4" s="1" t="s">
        <v>5</v>
      </c>
      <c r="E4" s="1" t="s">
        <v>6</v>
      </c>
      <c r="F4" s="15">
        <v>42142857</v>
      </c>
      <c r="K4" s="4" t="s">
        <v>928</v>
      </c>
      <c r="L4" s="4"/>
      <c r="M4" s="4"/>
      <c r="N4" s="4"/>
      <c r="O4" s="4"/>
    </row>
    <row r="5" spans="3:21" x14ac:dyDescent="0.3">
      <c r="C5" s="1" t="s">
        <v>7</v>
      </c>
      <c r="D5" s="1" t="s">
        <v>5</v>
      </c>
      <c r="E5" s="1" t="s">
        <v>6</v>
      </c>
      <c r="F5" s="15">
        <v>36428571</v>
      </c>
      <c r="H5" s="2"/>
      <c r="K5" s="4" t="str" cm="1">
        <f t="array" ref="K5:N5">_xlfn.XLOOKUP("Mike Trout",C4:C880,C4:F880,"no answer",0)</f>
        <v>Mike Trout</v>
      </c>
      <c r="L5" s="4" t="str">
        <v>LAA</v>
      </c>
      <c r="M5" s="4" t="str">
        <v>CF</v>
      </c>
      <c r="N5" s="4">
        <v>34083333</v>
      </c>
      <c r="O5" s="4"/>
    </row>
    <row r="6" spans="3:21" x14ac:dyDescent="0.3">
      <c r="C6" s="1" t="s">
        <v>8</v>
      </c>
      <c r="D6" s="1" t="s">
        <v>9</v>
      </c>
      <c r="E6" s="1" t="s">
        <v>10</v>
      </c>
      <c r="F6" s="15">
        <v>34083333</v>
      </c>
      <c r="H6" s="2"/>
    </row>
    <row r="7" spans="3:21" x14ac:dyDescent="0.3">
      <c r="C7" s="1" t="s">
        <v>11</v>
      </c>
      <c r="D7" s="1" t="s">
        <v>12</v>
      </c>
      <c r="E7" s="1" t="s">
        <v>6</v>
      </c>
      <c r="F7" s="15">
        <v>32421884</v>
      </c>
      <c r="H7" s="2"/>
      <c r="J7" s="5" t="s">
        <v>929</v>
      </c>
      <c r="K7" s="5"/>
      <c r="L7" s="5"/>
      <c r="M7" s="5"/>
      <c r="N7" s="5"/>
      <c r="O7" s="5"/>
      <c r="P7" s="6"/>
      <c r="Q7" s="6"/>
      <c r="R7" s="6"/>
    </row>
    <row r="8" spans="3:21" x14ac:dyDescent="0.3">
      <c r="C8" s="1" t="s">
        <v>13</v>
      </c>
      <c r="D8" s="1" t="s">
        <v>14</v>
      </c>
      <c r="E8" s="1" t="s">
        <v>6</v>
      </c>
      <c r="F8" s="15">
        <v>31000000</v>
      </c>
      <c r="J8" s="5"/>
      <c r="K8" s="5" t="str">
        <f ca="1">_xlfn.FORMULATEXT(K9)</f>
        <v>=XLOOKUP("*Trout",C4:C880,D4:F880,"no answer",2)</v>
      </c>
      <c r="L8" s="5"/>
      <c r="M8" s="5"/>
      <c r="N8" s="5"/>
      <c r="O8" s="5"/>
      <c r="P8" s="7" t="s">
        <v>926</v>
      </c>
      <c r="Q8" s="6"/>
      <c r="R8" s="6"/>
    </row>
    <row r="9" spans="3:21" x14ac:dyDescent="0.3">
      <c r="C9" s="1" t="s">
        <v>15</v>
      </c>
      <c r="D9" s="1" t="s">
        <v>16</v>
      </c>
      <c r="E9" s="1" t="s">
        <v>6</v>
      </c>
      <c r="F9" s="15">
        <v>31000000</v>
      </c>
      <c r="J9" s="5"/>
      <c r="K9" s="5" t="str" cm="1">
        <f t="array" ref="K9:M9">_xlfn.XLOOKUP("*Trout",C4:C880,D4:F880,"no answer",2)</f>
        <v>LAA</v>
      </c>
      <c r="L9" s="5" t="str">
        <v>CF</v>
      </c>
      <c r="M9" s="5">
        <v>34083333</v>
      </c>
      <c r="N9" s="5"/>
      <c r="O9" s="5"/>
      <c r="P9" s="7" t="s">
        <v>927</v>
      </c>
      <c r="Q9" s="6"/>
      <c r="R9" s="6"/>
    </row>
    <row r="10" spans="3:21" x14ac:dyDescent="0.3">
      <c r="C10" s="1" t="s">
        <v>17</v>
      </c>
      <c r="D10" s="1" t="s">
        <v>18</v>
      </c>
      <c r="E10" s="1" t="s">
        <v>19</v>
      </c>
      <c r="F10" s="15">
        <v>30000000</v>
      </c>
      <c r="H10" s="2"/>
      <c r="J10" s="8" t="str">
        <f ca="1">_xlfn.FORMULATEXT(K11)</f>
        <v>=XLOOKUP(25100000,F4:F880,C4:C880,"no answer",-1)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3:21" x14ac:dyDescent="0.3">
      <c r="C11" s="1" t="s">
        <v>20</v>
      </c>
      <c r="D11" s="1" t="s">
        <v>21</v>
      </c>
      <c r="E11" s="1" t="s">
        <v>22</v>
      </c>
      <c r="F11" s="15">
        <v>29000000</v>
      </c>
      <c r="H11" s="2"/>
      <c r="J11" s="8"/>
      <c r="K11" s="8" t="str">
        <f>_xlfn.XLOOKUP(25100000,F4:F880,C4:C880,"no answer",-1)</f>
        <v>Jake Arrieta</v>
      </c>
      <c r="L11" s="8"/>
      <c r="M11" s="8"/>
      <c r="N11" s="8"/>
      <c r="O11" s="8"/>
      <c r="P11" s="8" t="s">
        <v>930</v>
      </c>
      <c r="Q11" s="8"/>
      <c r="R11" s="8"/>
      <c r="S11" s="8"/>
      <c r="T11" s="8"/>
      <c r="U11" s="8"/>
    </row>
    <row r="12" spans="3:21" x14ac:dyDescent="0.3">
      <c r="C12" s="1" t="s">
        <v>23</v>
      </c>
      <c r="D12" s="1" t="s">
        <v>24</v>
      </c>
      <c r="E12" s="1" t="s">
        <v>6</v>
      </c>
      <c r="F12" s="15">
        <v>28000000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3:21" x14ac:dyDescent="0.3">
      <c r="C13" s="1" t="s">
        <v>25</v>
      </c>
      <c r="D13" s="1" t="s">
        <v>9</v>
      </c>
      <c r="E13" s="1" t="s">
        <v>19</v>
      </c>
      <c r="F13" s="15">
        <v>28000000</v>
      </c>
      <c r="H13" s="2"/>
      <c r="J13" s="8" t="str">
        <f ca="1">_xlfn.FORMULATEXT(K14)</f>
        <v>=XLOOKUP(25100000,F4:F880,C4:E880,"no answer",-1)</v>
      </c>
      <c r="K13" s="8"/>
      <c r="L13" s="8"/>
      <c r="M13" s="8"/>
      <c r="N13" s="8"/>
      <c r="O13" s="8"/>
    </row>
    <row r="14" spans="3:21" x14ac:dyDescent="0.3">
      <c r="C14" s="1" t="s">
        <v>26</v>
      </c>
      <c r="D14" s="1" t="s">
        <v>27</v>
      </c>
      <c r="E14" s="1" t="s">
        <v>6</v>
      </c>
      <c r="F14" s="15">
        <v>27857143</v>
      </c>
      <c r="J14" s="8"/>
      <c r="K14" s="8" t="str" cm="1">
        <f t="array" ref="K14:M14">_xlfn.XLOOKUP(25100000,F4:F880,C4:E880,"no answer",-1)</f>
        <v>Jake Arrieta</v>
      </c>
      <c r="L14" s="8" t="str">
        <v>PHI</v>
      </c>
      <c r="M14" s="8" t="str">
        <v>SP</v>
      </c>
      <c r="N14" s="8" t="s">
        <v>935</v>
      </c>
      <c r="O14" s="8"/>
      <c r="P14" s="6"/>
      <c r="Q14" s="6"/>
      <c r="R14" s="6"/>
    </row>
    <row r="15" spans="3:21" x14ac:dyDescent="0.3">
      <c r="C15" s="1" t="s">
        <v>28</v>
      </c>
      <c r="D15" s="1" t="s">
        <v>29</v>
      </c>
      <c r="E15" s="1" t="s">
        <v>6</v>
      </c>
      <c r="F15" s="15">
        <v>27500000</v>
      </c>
      <c r="P15" s="6"/>
      <c r="Q15" s="6"/>
      <c r="R15" s="6"/>
    </row>
    <row r="16" spans="3:21" x14ac:dyDescent="0.3">
      <c r="C16" s="1" t="s">
        <v>30</v>
      </c>
      <c r="D16" s="1" t="s">
        <v>31</v>
      </c>
      <c r="E16" s="1" t="s">
        <v>32</v>
      </c>
      <c r="F16" s="15">
        <v>26000000</v>
      </c>
      <c r="J16" s="9" t="s">
        <v>937</v>
      </c>
      <c r="K16" s="9"/>
      <c r="L16" s="9"/>
      <c r="M16" s="9"/>
      <c r="N16" s="9"/>
      <c r="O16" s="9"/>
      <c r="P16" s="10"/>
      <c r="Q16" s="9"/>
      <c r="R16" s="9"/>
    </row>
    <row r="17" spans="2:19" x14ac:dyDescent="0.3">
      <c r="B17" s="1" t="s">
        <v>936</v>
      </c>
      <c r="C17" s="1" t="s">
        <v>33</v>
      </c>
      <c r="D17" s="1" t="s">
        <v>34</v>
      </c>
      <c r="E17" s="1" t="s">
        <v>35</v>
      </c>
      <c r="F17" s="15">
        <v>26000000</v>
      </c>
      <c r="J17" s="9"/>
      <c r="K17" s="9" t="str">
        <f ca="1">_xlfn.FORMULATEXT(K18)</f>
        <v>=XLOOKUP(29500000,F4:F880,C4:C880,"no answer",1)</v>
      </c>
      <c r="L17" s="9"/>
      <c r="M17" s="9"/>
      <c r="N17" s="9"/>
      <c r="O17" s="9"/>
      <c r="P17" s="10"/>
      <c r="Q17" s="9"/>
      <c r="R17" s="9"/>
    </row>
    <row r="18" spans="2:19" x14ac:dyDescent="0.3">
      <c r="C18" s="1" t="s">
        <v>36</v>
      </c>
      <c r="D18" s="1" t="s">
        <v>37</v>
      </c>
      <c r="E18" s="1" t="s">
        <v>6</v>
      </c>
      <c r="F18" s="15">
        <v>25000000</v>
      </c>
      <c r="K18" s="9" t="str">
        <f>_xlfn.XLOOKUP(29500000,F4:F880,C4:C880,"no answer",1)</f>
        <v>Miguel Cabrera</v>
      </c>
      <c r="L18" s="9"/>
      <c r="M18" s="9"/>
      <c r="P18" s="9"/>
      <c r="Q18" s="9"/>
    </row>
    <row r="19" spans="2:19" x14ac:dyDescent="0.3">
      <c r="C19" s="1" t="s">
        <v>38</v>
      </c>
      <c r="D19" s="1" t="s">
        <v>39</v>
      </c>
      <c r="E19" s="1" t="s">
        <v>40</v>
      </c>
      <c r="F19" s="15">
        <v>25000000</v>
      </c>
      <c r="I19" s="11" t="str">
        <f ca="1">_xlfn.FORMULATEXT(K20)</f>
        <v>=XLOOKUP("*Smith",C4:C880,C4:F880,"no answer",2,1)</v>
      </c>
      <c r="J19" s="11"/>
      <c r="K19" s="11"/>
      <c r="L19" s="11"/>
      <c r="M19" s="11"/>
      <c r="P19" s="12" t="s">
        <v>923</v>
      </c>
      <c r="Q19" s="12"/>
      <c r="R19" s="1" t="str">
        <f>_xlfn.XLOOKUP("WAYNE WINSTON",C4:C880,F4:F880,"No Match",0,1)</f>
        <v>No Match</v>
      </c>
    </row>
    <row r="20" spans="2:19" x14ac:dyDescent="0.3">
      <c r="C20" s="1" t="s">
        <v>41</v>
      </c>
      <c r="D20" s="1" t="s">
        <v>18</v>
      </c>
      <c r="E20" s="1" t="s">
        <v>6</v>
      </c>
      <c r="F20" s="15">
        <v>25000000</v>
      </c>
      <c r="I20" s="11" t="s">
        <v>933</v>
      </c>
      <c r="J20" s="11"/>
      <c r="K20" s="13" t="str" cm="1">
        <f t="array" ref="K20:N20">_xlfn.XLOOKUP("*Smith",C4:C880,C4:F880,"no answer",2,1)</f>
        <v>Joe Smith</v>
      </c>
      <c r="L20" s="13" t="str">
        <v>HOU</v>
      </c>
      <c r="M20" s="13" t="str">
        <v>RP</v>
      </c>
      <c r="N20" s="13">
        <v>8000000</v>
      </c>
      <c r="O20" s="13"/>
      <c r="P20" s="14" t="s">
        <v>924</v>
      </c>
      <c r="Q20" s="12"/>
      <c r="R20" s="1" t="str">
        <f ca="1">_xlfn.FORMULATEXT(R19)</f>
        <v>=XLOOKUP("WAYNE WINSTON",C4:C880,F4:F880,"No Match",0,1)</v>
      </c>
    </row>
    <row r="21" spans="2:19" x14ac:dyDescent="0.3">
      <c r="C21" s="1" t="s">
        <v>42</v>
      </c>
      <c r="D21" s="1" t="s">
        <v>21</v>
      </c>
      <c r="E21" s="1" t="s">
        <v>43</v>
      </c>
      <c r="F21" s="15">
        <v>24000000</v>
      </c>
      <c r="I21" s="11" t="s">
        <v>931</v>
      </c>
      <c r="J21" s="11"/>
      <c r="K21" s="11"/>
      <c r="L21" s="11"/>
      <c r="M21" s="11"/>
      <c r="P21" s="14" t="s">
        <v>925</v>
      </c>
      <c r="Q21" s="12"/>
    </row>
    <row r="22" spans="2:19" x14ac:dyDescent="0.3">
      <c r="C22" s="1" t="s">
        <v>44</v>
      </c>
      <c r="D22" s="1" t="s">
        <v>14</v>
      </c>
      <c r="E22" s="1" t="s">
        <v>22</v>
      </c>
      <c r="F22" s="15">
        <v>23750000</v>
      </c>
      <c r="I22" s="17" t="s">
        <v>932</v>
      </c>
      <c r="J22" s="18"/>
      <c r="K22" s="18"/>
      <c r="L22" s="18"/>
      <c r="M22" s="11"/>
    </row>
    <row r="23" spans="2:19" x14ac:dyDescent="0.3">
      <c r="C23" s="1" t="s">
        <v>45</v>
      </c>
      <c r="D23" s="1" t="s">
        <v>27</v>
      </c>
      <c r="E23" s="1" t="s">
        <v>40</v>
      </c>
      <c r="F23" s="15">
        <v>23333333</v>
      </c>
      <c r="I23" s="18" t="str">
        <f ca="1">_xlfn.FORMULATEXT(I24)</f>
        <v>=XLOOKUP("*Smith",C4:C880,C4:F880,"no answer",2,-1)</v>
      </c>
      <c r="J23" s="18"/>
      <c r="K23" s="18"/>
      <c r="L23" s="18"/>
      <c r="M23" s="16"/>
      <c r="N23" s="3"/>
      <c r="O23" s="3"/>
      <c r="P23" s="3"/>
      <c r="Q23" s="3"/>
      <c r="R23" s="1" t="str">
        <f ca="1">_xlfn.FORMULATEXT(S23)</f>
        <v>=XLOOKUP("WAYNE WINSTON",C4:C880,F4:F880,,0,1)</v>
      </c>
      <c r="S23" s="1" t="e">
        <f>_xlfn.XLOOKUP("WAYNE WINSTON",C4:C880,F4:F880,,0,1)</f>
        <v>#N/A</v>
      </c>
    </row>
    <row r="24" spans="2:19" x14ac:dyDescent="0.3">
      <c r="C24" s="1" t="s">
        <v>46</v>
      </c>
      <c r="D24" s="1" t="s">
        <v>47</v>
      </c>
      <c r="E24" s="1" t="s">
        <v>32</v>
      </c>
      <c r="F24" s="15">
        <v>23000000</v>
      </c>
      <c r="I24" s="18" t="str" cm="1">
        <f t="array" ref="I24:L24">_xlfn.XLOOKUP("*Smith",C4:C880,C4:F880,"no answer",2,-1)</f>
        <v>Caleb Smith</v>
      </c>
      <c r="J24" s="18" t="str">
        <v>MIA</v>
      </c>
      <c r="K24" s="18" t="str">
        <v>SP</v>
      </c>
      <c r="L24" s="18">
        <v>556500</v>
      </c>
      <c r="M24" s="16"/>
      <c r="N24" s="3"/>
      <c r="O24" s="3"/>
      <c r="P24" s="3"/>
      <c r="Q24" s="3"/>
    </row>
    <row r="25" spans="2:19" x14ac:dyDescent="0.3">
      <c r="C25" s="1" t="s">
        <v>48</v>
      </c>
      <c r="D25" s="1" t="s">
        <v>49</v>
      </c>
      <c r="E25" s="1" t="s">
        <v>6</v>
      </c>
      <c r="F25" s="15">
        <v>22666666</v>
      </c>
      <c r="I25" s="11"/>
      <c r="J25" s="11"/>
      <c r="K25" s="11"/>
      <c r="L25" s="11"/>
      <c r="M25" s="16"/>
      <c r="N25" s="3"/>
      <c r="O25" s="3"/>
      <c r="P25" s="3"/>
      <c r="Q25" s="3"/>
    </row>
    <row r="26" spans="2:19" x14ac:dyDescent="0.3">
      <c r="C26" s="1" t="s">
        <v>50</v>
      </c>
      <c r="D26" s="1" t="s">
        <v>49</v>
      </c>
      <c r="E26" s="1" t="s">
        <v>51</v>
      </c>
      <c r="F26" s="15">
        <v>22511111</v>
      </c>
    </row>
    <row r="27" spans="2:19" x14ac:dyDescent="0.3">
      <c r="C27" s="1" t="s">
        <v>52</v>
      </c>
      <c r="D27" s="1" t="s">
        <v>34</v>
      </c>
      <c r="E27" s="1" t="s">
        <v>6</v>
      </c>
      <c r="F27" s="15">
        <v>22000000</v>
      </c>
    </row>
    <row r="28" spans="2:19" x14ac:dyDescent="0.3">
      <c r="C28" s="1" t="s">
        <v>53</v>
      </c>
      <c r="D28" s="1" t="s">
        <v>34</v>
      </c>
      <c r="E28" s="1" t="s">
        <v>22</v>
      </c>
      <c r="F28" s="15">
        <v>21857142</v>
      </c>
    </row>
    <row r="29" spans="2:19" x14ac:dyDescent="0.3">
      <c r="C29" s="1" t="s">
        <v>54</v>
      </c>
      <c r="D29" s="1" t="s">
        <v>55</v>
      </c>
      <c r="E29" s="1" t="s">
        <v>40</v>
      </c>
      <c r="F29" s="15">
        <v>21625000</v>
      </c>
    </row>
    <row r="30" spans="2:19" x14ac:dyDescent="0.3">
      <c r="C30" s="1" t="s">
        <v>56</v>
      </c>
      <c r="D30" s="1" t="s">
        <v>31</v>
      </c>
      <c r="E30" s="1" t="s">
        <v>10</v>
      </c>
      <c r="F30" s="15">
        <v>21516666</v>
      </c>
    </row>
    <row r="31" spans="2:19" x14ac:dyDescent="0.3">
      <c r="C31" s="1" t="s">
        <v>57</v>
      </c>
      <c r="D31" s="1" t="s">
        <v>39</v>
      </c>
      <c r="E31" s="1" t="s">
        <v>22</v>
      </c>
      <c r="F31" s="15">
        <v>21500000</v>
      </c>
    </row>
    <row r="32" spans="2:19" x14ac:dyDescent="0.3">
      <c r="C32" s="1" t="s">
        <v>58</v>
      </c>
      <c r="D32" s="1" t="s">
        <v>47</v>
      </c>
      <c r="E32" s="1" t="s">
        <v>40</v>
      </c>
      <c r="F32" s="15">
        <v>21359375</v>
      </c>
    </row>
    <row r="33" spans="3:6" x14ac:dyDescent="0.3">
      <c r="C33" s="1" t="s">
        <v>59</v>
      </c>
      <c r="D33" s="1" t="s">
        <v>14</v>
      </c>
      <c r="E33" s="1" t="s">
        <v>6</v>
      </c>
      <c r="F33" s="15">
        <v>21125000</v>
      </c>
    </row>
    <row r="34" spans="3:6" x14ac:dyDescent="0.3">
      <c r="C34" s="1" t="s">
        <v>60</v>
      </c>
      <c r="D34" s="1" t="s">
        <v>61</v>
      </c>
      <c r="E34" s="1" t="s">
        <v>40</v>
      </c>
      <c r="F34" s="15">
        <v>21116517</v>
      </c>
    </row>
    <row r="35" spans="3:6" x14ac:dyDescent="0.3">
      <c r="C35" s="1" t="s">
        <v>62</v>
      </c>
      <c r="D35" s="1" t="s">
        <v>63</v>
      </c>
      <c r="E35" s="1" t="s">
        <v>64</v>
      </c>
      <c r="F35" s="15">
        <v>21000000</v>
      </c>
    </row>
    <row r="36" spans="3:6" x14ac:dyDescent="0.3">
      <c r="C36" s="1" t="s">
        <v>65</v>
      </c>
      <c r="D36" s="1" t="s">
        <v>66</v>
      </c>
      <c r="E36" s="1" t="s">
        <v>19</v>
      </c>
      <c r="F36" s="15">
        <v>21000000</v>
      </c>
    </row>
    <row r="37" spans="3:6" x14ac:dyDescent="0.3">
      <c r="C37" s="1" t="s">
        <v>67</v>
      </c>
      <c r="D37" s="1" t="s">
        <v>68</v>
      </c>
      <c r="E37" s="1" t="s">
        <v>40</v>
      </c>
      <c r="F37" s="15">
        <v>20500000</v>
      </c>
    </row>
    <row r="38" spans="3:6" x14ac:dyDescent="0.3">
      <c r="C38" s="1" t="s">
        <v>69</v>
      </c>
      <c r="D38" s="1" t="s">
        <v>29</v>
      </c>
      <c r="E38" s="1" t="s">
        <v>6</v>
      </c>
      <c r="F38" s="15">
        <v>20000000</v>
      </c>
    </row>
    <row r="39" spans="3:6" x14ac:dyDescent="0.3">
      <c r="C39" s="1" t="s">
        <v>70</v>
      </c>
      <c r="D39" s="1" t="s">
        <v>29</v>
      </c>
      <c r="E39" s="1" t="s">
        <v>6</v>
      </c>
      <c r="F39" s="15">
        <v>20000000</v>
      </c>
    </row>
    <row r="40" spans="3:6" x14ac:dyDescent="0.3">
      <c r="C40" s="1" t="s">
        <v>71</v>
      </c>
      <c r="D40" s="1" t="s">
        <v>14</v>
      </c>
      <c r="E40" s="1" t="s">
        <v>35</v>
      </c>
      <c r="F40" s="15">
        <v>20000000</v>
      </c>
    </row>
    <row r="41" spans="3:6" x14ac:dyDescent="0.3">
      <c r="C41" s="1" t="s">
        <v>72</v>
      </c>
      <c r="D41" s="1" t="s">
        <v>16</v>
      </c>
      <c r="E41" s="1" t="s">
        <v>51</v>
      </c>
      <c r="F41" s="15">
        <v>20000000</v>
      </c>
    </row>
    <row r="42" spans="3:6" x14ac:dyDescent="0.3">
      <c r="C42" s="1" t="s">
        <v>73</v>
      </c>
      <c r="D42" s="1" t="s">
        <v>74</v>
      </c>
      <c r="E42" s="1" t="s">
        <v>51</v>
      </c>
      <c r="F42" s="15">
        <v>20000000</v>
      </c>
    </row>
    <row r="43" spans="3:6" x14ac:dyDescent="0.3">
      <c r="C43" s="1" t="s">
        <v>75</v>
      </c>
      <c r="D43" s="1" t="s">
        <v>29</v>
      </c>
      <c r="E43" s="1" t="s">
        <v>35</v>
      </c>
      <c r="F43" s="15">
        <v>20000000</v>
      </c>
    </row>
    <row r="44" spans="3:6" x14ac:dyDescent="0.3">
      <c r="C44" s="1" t="s">
        <v>76</v>
      </c>
      <c r="D44" s="1" t="s">
        <v>49</v>
      </c>
      <c r="E44" s="1" t="s">
        <v>6</v>
      </c>
      <c r="F44" s="15">
        <v>19800000</v>
      </c>
    </row>
    <row r="45" spans="3:6" x14ac:dyDescent="0.3">
      <c r="C45" s="1" t="s">
        <v>77</v>
      </c>
      <c r="D45" s="1" t="s">
        <v>78</v>
      </c>
      <c r="E45" s="1" t="s">
        <v>79</v>
      </c>
      <c r="F45" s="15">
        <v>19773520</v>
      </c>
    </row>
    <row r="46" spans="3:6" x14ac:dyDescent="0.3">
      <c r="C46" s="1" t="s">
        <v>80</v>
      </c>
      <c r="D46" s="1" t="s">
        <v>9</v>
      </c>
      <c r="E46" s="1" t="s">
        <v>64</v>
      </c>
      <c r="F46" s="15">
        <v>19700000</v>
      </c>
    </row>
    <row r="47" spans="3:6" x14ac:dyDescent="0.3">
      <c r="C47" s="1" t="s">
        <v>81</v>
      </c>
      <c r="D47" s="1" t="s">
        <v>27</v>
      </c>
      <c r="E47" s="1" t="s">
        <v>32</v>
      </c>
      <c r="F47" s="15">
        <v>19500000</v>
      </c>
    </row>
    <row r="48" spans="3:6" x14ac:dyDescent="0.3">
      <c r="C48" s="1" t="s">
        <v>82</v>
      </c>
      <c r="D48" s="1" t="s">
        <v>16</v>
      </c>
      <c r="E48" s="1" t="s">
        <v>32</v>
      </c>
      <c r="F48" s="15">
        <v>19000000</v>
      </c>
    </row>
    <row r="49" spans="3:6" x14ac:dyDescent="0.3">
      <c r="C49" s="1" t="s">
        <v>83</v>
      </c>
      <c r="D49" s="1" t="s">
        <v>49</v>
      </c>
      <c r="E49" s="1" t="s">
        <v>79</v>
      </c>
      <c r="F49" s="15">
        <v>19000000</v>
      </c>
    </row>
    <row r="50" spans="3:6" x14ac:dyDescent="0.3">
      <c r="C50" s="1" t="s">
        <v>84</v>
      </c>
      <c r="D50" s="1" t="s">
        <v>16</v>
      </c>
      <c r="E50" s="1" t="s">
        <v>79</v>
      </c>
      <c r="F50" s="15">
        <v>18800000</v>
      </c>
    </row>
    <row r="51" spans="3:6" x14ac:dyDescent="0.3">
      <c r="C51" s="1" t="s">
        <v>85</v>
      </c>
      <c r="D51" s="1" t="s">
        <v>5</v>
      </c>
      <c r="E51" s="1" t="s">
        <v>32</v>
      </c>
      <c r="F51" s="15">
        <v>18800000</v>
      </c>
    </row>
    <row r="52" spans="3:6" x14ac:dyDescent="0.3">
      <c r="C52" s="1" t="s">
        <v>86</v>
      </c>
      <c r="D52" s="1" t="s">
        <v>16</v>
      </c>
      <c r="E52" s="1" t="s">
        <v>6</v>
      </c>
      <c r="F52" s="15">
        <v>18666667</v>
      </c>
    </row>
    <row r="53" spans="3:6" x14ac:dyDescent="0.3">
      <c r="C53" s="1" t="s">
        <v>87</v>
      </c>
      <c r="D53" s="1" t="s">
        <v>49</v>
      </c>
      <c r="E53" s="1" t="s">
        <v>32</v>
      </c>
      <c r="F53" s="15">
        <v>18600000</v>
      </c>
    </row>
    <row r="54" spans="3:6" x14ac:dyDescent="0.3">
      <c r="C54" s="1" t="s">
        <v>88</v>
      </c>
      <c r="D54" s="1" t="s">
        <v>5</v>
      </c>
      <c r="E54" s="1" t="s">
        <v>40</v>
      </c>
      <c r="F54" s="15">
        <v>18333333</v>
      </c>
    </row>
    <row r="55" spans="3:6" x14ac:dyDescent="0.3">
      <c r="C55" s="1" t="s">
        <v>89</v>
      </c>
      <c r="D55" s="1" t="s">
        <v>31</v>
      </c>
      <c r="E55" s="1" t="s">
        <v>79</v>
      </c>
      <c r="F55" s="15">
        <v>18333333</v>
      </c>
    </row>
    <row r="56" spans="3:6" x14ac:dyDescent="0.3">
      <c r="C56" s="1" t="s">
        <v>90</v>
      </c>
      <c r="D56" s="1" t="s">
        <v>91</v>
      </c>
      <c r="E56" s="1" t="s">
        <v>51</v>
      </c>
      <c r="F56" s="15">
        <v>18250000</v>
      </c>
    </row>
    <row r="57" spans="3:6" x14ac:dyDescent="0.3">
      <c r="C57" s="1" t="s">
        <v>92</v>
      </c>
      <c r="D57" s="1" t="s">
        <v>91</v>
      </c>
      <c r="E57" s="1" t="s">
        <v>64</v>
      </c>
      <c r="F57" s="15">
        <v>18158038</v>
      </c>
    </row>
    <row r="58" spans="3:6" x14ac:dyDescent="0.3">
      <c r="C58" s="1" t="s">
        <v>93</v>
      </c>
      <c r="D58" s="1" t="s">
        <v>16</v>
      </c>
      <c r="E58" s="1" t="s">
        <v>6</v>
      </c>
      <c r="F58" s="15">
        <v>17900000</v>
      </c>
    </row>
    <row r="59" spans="3:6" x14ac:dyDescent="0.3">
      <c r="C59" s="1" t="s">
        <v>94</v>
      </c>
      <c r="D59" s="1" t="s">
        <v>49</v>
      </c>
      <c r="E59" s="1" t="s">
        <v>40</v>
      </c>
      <c r="F59" s="15">
        <v>17200000</v>
      </c>
    </row>
    <row r="60" spans="3:6" x14ac:dyDescent="0.3">
      <c r="C60" s="1" t="s">
        <v>95</v>
      </c>
      <c r="D60" s="1" t="s">
        <v>34</v>
      </c>
      <c r="E60" s="1" t="s">
        <v>79</v>
      </c>
      <c r="F60" s="15">
        <v>17200000</v>
      </c>
    </row>
    <row r="61" spans="3:6" x14ac:dyDescent="0.3">
      <c r="C61" s="1" t="s">
        <v>96</v>
      </c>
      <c r="D61" s="1" t="s">
        <v>68</v>
      </c>
      <c r="E61" s="1" t="s">
        <v>6</v>
      </c>
      <c r="F61" s="15">
        <v>17200000</v>
      </c>
    </row>
    <row r="62" spans="3:6" x14ac:dyDescent="0.3">
      <c r="C62" s="1" t="s">
        <v>97</v>
      </c>
      <c r="D62" s="1" t="s">
        <v>27</v>
      </c>
      <c r="E62" s="1" t="s">
        <v>6</v>
      </c>
      <c r="F62" s="15">
        <v>17000000</v>
      </c>
    </row>
    <row r="63" spans="3:6" x14ac:dyDescent="0.3">
      <c r="C63" s="1" t="s">
        <v>98</v>
      </c>
      <c r="D63" s="1" t="s">
        <v>14</v>
      </c>
      <c r="E63" s="1" t="s">
        <v>6</v>
      </c>
      <c r="F63" s="15">
        <v>17000000</v>
      </c>
    </row>
    <row r="64" spans="3:6" x14ac:dyDescent="0.3">
      <c r="C64" s="1" t="s">
        <v>99</v>
      </c>
      <c r="D64" s="1" t="s">
        <v>34</v>
      </c>
      <c r="E64" s="1" t="s">
        <v>6</v>
      </c>
      <c r="F64" s="15">
        <v>17000000</v>
      </c>
    </row>
    <row r="65" spans="3:6" x14ac:dyDescent="0.3">
      <c r="C65" s="1" t="s">
        <v>100</v>
      </c>
      <c r="D65" s="1" t="s">
        <v>63</v>
      </c>
      <c r="E65" s="1" t="s">
        <v>6</v>
      </c>
      <c r="F65" s="15">
        <v>16500000</v>
      </c>
    </row>
    <row r="66" spans="3:6" x14ac:dyDescent="0.3">
      <c r="C66" s="1" t="s">
        <v>101</v>
      </c>
      <c r="D66" s="1" t="s">
        <v>102</v>
      </c>
      <c r="E66" s="1" t="s">
        <v>19</v>
      </c>
      <c r="F66" s="15">
        <v>16500000</v>
      </c>
    </row>
    <row r="67" spans="3:6" x14ac:dyDescent="0.3">
      <c r="C67" s="1" t="s">
        <v>103</v>
      </c>
      <c r="D67" s="1" t="s">
        <v>74</v>
      </c>
      <c r="E67" s="1" t="s">
        <v>35</v>
      </c>
      <c r="F67" s="15">
        <v>16500000</v>
      </c>
    </row>
    <row r="68" spans="3:6" x14ac:dyDescent="0.3">
      <c r="C68" s="1" t="s">
        <v>104</v>
      </c>
      <c r="D68" s="1" t="s">
        <v>24</v>
      </c>
      <c r="E68" s="1" t="s">
        <v>64</v>
      </c>
      <c r="F68" s="15">
        <v>16000000</v>
      </c>
    </row>
    <row r="69" spans="3:6" x14ac:dyDescent="0.3">
      <c r="C69" s="1" t="s">
        <v>105</v>
      </c>
      <c r="D69" s="1" t="s">
        <v>106</v>
      </c>
      <c r="E69" s="1" t="s">
        <v>40</v>
      </c>
      <c r="F69" s="15">
        <v>16000000</v>
      </c>
    </row>
    <row r="70" spans="3:6" x14ac:dyDescent="0.3">
      <c r="C70" s="1" t="s">
        <v>107</v>
      </c>
      <c r="D70" s="1" t="s">
        <v>49</v>
      </c>
      <c r="E70" s="1" t="s">
        <v>32</v>
      </c>
      <c r="F70" s="15">
        <v>15500000</v>
      </c>
    </row>
    <row r="71" spans="3:6" x14ac:dyDescent="0.3">
      <c r="C71" s="1" t="s">
        <v>108</v>
      </c>
      <c r="D71" s="1" t="s">
        <v>31</v>
      </c>
      <c r="E71" s="1" t="s">
        <v>10</v>
      </c>
      <c r="F71" s="15">
        <v>15400000</v>
      </c>
    </row>
    <row r="72" spans="3:6" x14ac:dyDescent="0.3">
      <c r="C72" s="1" t="s">
        <v>109</v>
      </c>
      <c r="D72" s="1" t="s">
        <v>74</v>
      </c>
      <c r="E72" s="1" t="s">
        <v>32</v>
      </c>
      <c r="F72" s="15">
        <v>15333333</v>
      </c>
    </row>
    <row r="73" spans="3:6" x14ac:dyDescent="0.3">
      <c r="C73" s="1" t="s">
        <v>110</v>
      </c>
      <c r="D73" s="1" t="s">
        <v>66</v>
      </c>
      <c r="E73" s="1" t="s">
        <v>111</v>
      </c>
      <c r="F73" s="15">
        <v>15250000</v>
      </c>
    </row>
    <row r="74" spans="3:6" x14ac:dyDescent="0.3">
      <c r="C74" s="1" t="s">
        <v>112</v>
      </c>
      <c r="D74" s="1" t="s">
        <v>63</v>
      </c>
      <c r="E74" s="1" t="s">
        <v>6</v>
      </c>
      <c r="F74" s="15">
        <v>15250000</v>
      </c>
    </row>
    <row r="75" spans="3:6" x14ac:dyDescent="0.3">
      <c r="C75" s="1" t="s">
        <v>113</v>
      </c>
      <c r="D75" s="1" t="s">
        <v>49</v>
      </c>
      <c r="E75" s="1" t="s">
        <v>111</v>
      </c>
      <c r="F75" s="15">
        <v>15200000</v>
      </c>
    </row>
    <row r="76" spans="3:6" x14ac:dyDescent="0.3">
      <c r="C76" s="1" t="s">
        <v>114</v>
      </c>
      <c r="D76" s="1" t="s">
        <v>37</v>
      </c>
      <c r="E76" s="1" t="s">
        <v>111</v>
      </c>
      <c r="F76" s="15">
        <v>15050000</v>
      </c>
    </row>
    <row r="77" spans="3:6" x14ac:dyDescent="0.3">
      <c r="C77" s="1" t="s">
        <v>115</v>
      </c>
      <c r="D77" s="1" t="s">
        <v>78</v>
      </c>
      <c r="E77" s="1" t="s">
        <v>32</v>
      </c>
      <c r="F77" s="15">
        <v>15000000</v>
      </c>
    </row>
    <row r="78" spans="3:6" x14ac:dyDescent="0.3">
      <c r="C78" s="1" t="s">
        <v>116</v>
      </c>
      <c r="D78" s="1" t="s">
        <v>74</v>
      </c>
      <c r="E78" s="1" t="s">
        <v>40</v>
      </c>
      <c r="F78" s="15">
        <v>15000000</v>
      </c>
    </row>
    <row r="79" spans="3:6" x14ac:dyDescent="0.3">
      <c r="C79" s="1" t="s">
        <v>117</v>
      </c>
      <c r="D79" s="1" t="s">
        <v>118</v>
      </c>
      <c r="E79" s="1" t="s">
        <v>6</v>
      </c>
      <c r="F79" s="15">
        <v>15000000</v>
      </c>
    </row>
    <row r="80" spans="3:6" x14ac:dyDescent="0.3">
      <c r="C80" s="1" t="s">
        <v>119</v>
      </c>
      <c r="D80" s="1" t="s">
        <v>14</v>
      </c>
      <c r="E80" s="1" t="s">
        <v>6</v>
      </c>
      <c r="F80" s="15">
        <v>15000000</v>
      </c>
    </row>
    <row r="81" spans="3:6" x14ac:dyDescent="0.3">
      <c r="C81" s="1" t="s">
        <v>120</v>
      </c>
      <c r="D81" s="1" t="s">
        <v>91</v>
      </c>
      <c r="E81" s="1" t="s">
        <v>10</v>
      </c>
      <c r="F81" s="15">
        <v>15000000</v>
      </c>
    </row>
    <row r="82" spans="3:6" x14ac:dyDescent="0.3">
      <c r="C82" s="1" t="s">
        <v>121</v>
      </c>
      <c r="D82" s="1" t="s">
        <v>68</v>
      </c>
      <c r="E82" s="1" t="s">
        <v>43</v>
      </c>
      <c r="F82" s="15">
        <v>14666667</v>
      </c>
    </row>
    <row r="83" spans="3:6" x14ac:dyDescent="0.3">
      <c r="C83" s="1" t="s">
        <v>122</v>
      </c>
      <c r="D83" s="1" t="s">
        <v>14</v>
      </c>
      <c r="E83" s="1" t="s">
        <v>43</v>
      </c>
      <c r="F83" s="15">
        <v>14521686</v>
      </c>
    </row>
    <row r="84" spans="3:6" x14ac:dyDescent="0.3">
      <c r="C84" s="1" t="s">
        <v>123</v>
      </c>
      <c r="D84" s="1" t="s">
        <v>124</v>
      </c>
      <c r="E84" s="1" t="s">
        <v>19</v>
      </c>
      <c r="F84" s="15">
        <v>14300000</v>
      </c>
    </row>
    <row r="85" spans="3:6" x14ac:dyDescent="0.3">
      <c r="C85" s="1" t="s">
        <v>125</v>
      </c>
      <c r="D85" s="1" t="s">
        <v>27</v>
      </c>
      <c r="E85" s="1" t="s">
        <v>35</v>
      </c>
      <c r="F85" s="15">
        <v>14000000</v>
      </c>
    </row>
    <row r="86" spans="3:6" x14ac:dyDescent="0.3">
      <c r="C86" s="1" t="s">
        <v>126</v>
      </c>
      <c r="D86" s="1" t="s">
        <v>61</v>
      </c>
      <c r="E86" s="1" t="s">
        <v>6</v>
      </c>
      <c r="F86" s="15">
        <v>14000000</v>
      </c>
    </row>
    <row r="87" spans="3:6" x14ac:dyDescent="0.3">
      <c r="C87" s="1" t="s">
        <v>127</v>
      </c>
      <c r="D87" s="1" t="s">
        <v>24</v>
      </c>
      <c r="E87" s="1" t="s">
        <v>6</v>
      </c>
      <c r="F87" s="15">
        <v>13500000</v>
      </c>
    </row>
    <row r="88" spans="3:6" x14ac:dyDescent="0.3">
      <c r="C88" s="1" t="s">
        <v>128</v>
      </c>
      <c r="D88" s="1" t="s">
        <v>27</v>
      </c>
      <c r="E88" s="1" t="s">
        <v>43</v>
      </c>
      <c r="F88" s="15">
        <v>13500000</v>
      </c>
    </row>
    <row r="89" spans="3:6" x14ac:dyDescent="0.3">
      <c r="C89" s="1" t="s">
        <v>129</v>
      </c>
      <c r="D89" s="1" t="s">
        <v>61</v>
      </c>
      <c r="E89" s="1" t="s">
        <v>19</v>
      </c>
      <c r="F89" s="15">
        <v>13274428</v>
      </c>
    </row>
    <row r="90" spans="3:6" x14ac:dyDescent="0.3">
      <c r="C90" s="1" t="s">
        <v>130</v>
      </c>
      <c r="D90" s="1" t="s">
        <v>74</v>
      </c>
      <c r="E90" s="1" t="s">
        <v>32</v>
      </c>
      <c r="F90" s="15">
        <v>13166666</v>
      </c>
    </row>
    <row r="91" spans="3:6" x14ac:dyDescent="0.3">
      <c r="C91" s="1" t="s">
        <v>131</v>
      </c>
      <c r="D91" s="1" t="s">
        <v>9</v>
      </c>
      <c r="E91" s="1" t="s">
        <v>111</v>
      </c>
      <c r="F91" s="15">
        <v>13000000</v>
      </c>
    </row>
    <row r="92" spans="3:6" x14ac:dyDescent="0.3">
      <c r="C92" s="1" t="s">
        <v>132</v>
      </c>
      <c r="D92" s="1" t="s">
        <v>34</v>
      </c>
      <c r="E92" s="1" t="s">
        <v>79</v>
      </c>
      <c r="F92" s="15">
        <v>13000000</v>
      </c>
    </row>
    <row r="93" spans="3:6" x14ac:dyDescent="0.3">
      <c r="C93" s="1" t="s">
        <v>133</v>
      </c>
      <c r="D93" s="1" t="s">
        <v>68</v>
      </c>
      <c r="E93" s="1" t="s">
        <v>6</v>
      </c>
      <c r="F93" s="15">
        <v>13000000</v>
      </c>
    </row>
    <row r="94" spans="3:6" x14ac:dyDescent="0.3">
      <c r="C94" s="1" t="s">
        <v>134</v>
      </c>
      <c r="D94" s="1" t="s">
        <v>24</v>
      </c>
      <c r="E94" s="1" t="s">
        <v>35</v>
      </c>
      <c r="F94" s="15">
        <v>13000000</v>
      </c>
    </row>
    <row r="95" spans="3:6" x14ac:dyDescent="0.3">
      <c r="C95" s="1" t="s">
        <v>135</v>
      </c>
      <c r="D95" s="1" t="s">
        <v>31</v>
      </c>
      <c r="E95" s="1" t="s">
        <v>40</v>
      </c>
      <c r="F95" s="15">
        <v>13000000</v>
      </c>
    </row>
    <row r="96" spans="3:6" x14ac:dyDescent="0.3">
      <c r="C96" s="1" t="s">
        <v>136</v>
      </c>
      <c r="D96" s="1" t="s">
        <v>5</v>
      </c>
      <c r="E96" s="1" t="s">
        <v>6</v>
      </c>
      <c r="F96" s="15">
        <v>12916666</v>
      </c>
    </row>
    <row r="97" spans="3:6" x14ac:dyDescent="0.3">
      <c r="C97" s="1" t="s">
        <v>137</v>
      </c>
      <c r="D97" s="1" t="s">
        <v>29</v>
      </c>
      <c r="E97" s="1" t="s">
        <v>32</v>
      </c>
      <c r="F97" s="15">
        <v>12900000</v>
      </c>
    </row>
    <row r="98" spans="3:6" x14ac:dyDescent="0.3">
      <c r="C98" s="1" t="s">
        <v>138</v>
      </c>
      <c r="D98" s="1" t="s">
        <v>9</v>
      </c>
      <c r="E98" s="1" t="s">
        <v>32</v>
      </c>
      <c r="F98" s="15">
        <v>12666667</v>
      </c>
    </row>
    <row r="99" spans="3:6" x14ac:dyDescent="0.3">
      <c r="C99" s="1" t="s">
        <v>139</v>
      </c>
      <c r="D99" s="1" t="s">
        <v>29</v>
      </c>
      <c r="E99" s="1" t="s">
        <v>43</v>
      </c>
      <c r="F99" s="15">
        <v>12500000</v>
      </c>
    </row>
    <row r="100" spans="3:6" x14ac:dyDescent="0.3">
      <c r="C100" s="1" t="s">
        <v>140</v>
      </c>
      <c r="D100" s="1" t="s">
        <v>29</v>
      </c>
      <c r="E100" s="1" t="s">
        <v>79</v>
      </c>
      <c r="F100" s="15">
        <v>12500000</v>
      </c>
    </row>
    <row r="101" spans="3:6" x14ac:dyDescent="0.3">
      <c r="C101" s="1" t="s">
        <v>141</v>
      </c>
      <c r="D101" s="1" t="s">
        <v>29</v>
      </c>
      <c r="E101" s="1" t="s">
        <v>40</v>
      </c>
      <c r="F101" s="15">
        <v>12285714</v>
      </c>
    </row>
    <row r="102" spans="3:6" x14ac:dyDescent="0.3">
      <c r="C102" s="1" t="s">
        <v>142</v>
      </c>
      <c r="D102" s="1" t="s">
        <v>74</v>
      </c>
      <c r="E102" s="1" t="s">
        <v>64</v>
      </c>
      <c r="F102" s="15">
        <v>12250000</v>
      </c>
    </row>
    <row r="103" spans="3:6" x14ac:dyDescent="0.3">
      <c r="C103" s="1" t="s">
        <v>143</v>
      </c>
      <c r="D103" s="1" t="s">
        <v>74</v>
      </c>
      <c r="E103" s="1" t="s">
        <v>79</v>
      </c>
      <c r="F103" s="15">
        <v>12250000</v>
      </c>
    </row>
    <row r="104" spans="3:6" x14ac:dyDescent="0.3">
      <c r="C104" s="1" t="s">
        <v>144</v>
      </c>
      <c r="D104" s="1" t="s">
        <v>78</v>
      </c>
      <c r="E104" s="1" t="s">
        <v>43</v>
      </c>
      <c r="F104" s="15">
        <v>12000000</v>
      </c>
    </row>
    <row r="105" spans="3:6" x14ac:dyDescent="0.3">
      <c r="C105" s="1" t="s">
        <v>145</v>
      </c>
      <c r="D105" s="1" t="s">
        <v>49</v>
      </c>
      <c r="E105" s="1" t="s">
        <v>6</v>
      </c>
      <c r="F105" s="15">
        <v>12000000</v>
      </c>
    </row>
    <row r="106" spans="3:6" x14ac:dyDescent="0.3">
      <c r="C106" s="1" t="s">
        <v>146</v>
      </c>
      <c r="D106" s="1" t="s">
        <v>14</v>
      </c>
      <c r="E106" s="1" t="s">
        <v>111</v>
      </c>
      <c r="F106" s="15">
        <v>12000000</v>
      </c>
    </row>
    <row r="107" spans="3:6" x14ac:dyDescent="0.3">
      <c r="C107" s="1" t="s">
        <v>147</v>
      </c>
      <c r="D107" s="1" t="s">
        <v>34</v>
      </c>
      <c r="E107" s="1" t="s">
        <v>43</v>
      </c>
      <c r="F107" s="15">
        <v>12000000</v>
      </c>
    </row>
    <row r="108" spans="3:6" x14ac:dyDescent="0.3">
      <c r="C108" s="1" t="s">
        <v>148</v>
      </c>
      <c r="D108" s="1" t="s">
        <v>55</v>
      </c>
      <c r="E108" s="1" t="s">
        <v>32</v>
      </c>
      <c r="F108" s="15">
        <v>12000000</v>
      </c>
    </row>
    <row r="109" spans="3:6" x14ac:dyDescent="0.3">
      <c r="C109" s="1" t="s">
        <v>149</v>
      </c>
      <c r="D109" s="1" t="s">
        <v>124</v>
      </c>
      <c r="E109" s="1" t="s">
        <v>32</v>
      </c>
      <c r="F109" s="15">
        <v>12000000</v>
      </c>
    </row>
    <row r="110" spans="3:6" x14ac:dyDescent="0.3">
      <c r="C110" s="1" t="s">
        <v>150</v>
      </c>
      <c r="D110" s="1" t="s">
        <v>24</v>
      </c>
      <c r="E110" s="1" t="s">
        <v>10</v>
      </c>
      <c r="F110" s="15">
        <v>12000000</v>
      </c>
    </row>
    <row r="111" spans="3:6" x14ac:dyDescent="0.3">
      <c r="C111" s="1" t="s">
        <v>151</v>
      </c>
      <c r="D111" s="1" t="s">
        <v>102</v>
      </c>
      <c r="E111" s="1" t="s">
        <v>19</v>
      </c>
      <c r="F111" s="15">
        <v>12000000</v>
      </c>
    </row>
    <row r="112" spans="3:6" x14ac:dyDescent="0.3">
      <c r="C112" s="1" t="s">
        <v>152</v>
      </c>
      <c r="D112" s="1" t="s">
        <v>74</v>
      </c>
      <c r="E112" s="1" t="s">
        <v>6</v>
      </c>
      <c r="F112" s="15">
        <v>11800000</v>
      </c>
    </row>
    <row r="113" spans="3:6" x14ac:dyDescent="0.3">
      <c r="C113" s="1" t="s">
        <v>153</v>
      </c>
      <c r="D113" s="1" t="s">
        <v>34</v>
      </c>
      <c r="E113" s="1" t="s">
        <v>111</v>
      </c>
      <c r="F113" s="15">
        <v>11750000</v>
      </c>
    </row>
    <row r="114" spans="3:6" x14ac:dyDescent="0.3">
      <c r="C114" s="1" t="s">
        <v>154</v>
      </c>
      <c r="D114" s="1" t="s">
        <v>37</v>
      </c>
      <c r="E114" s="1" t="s">
        <v>35</v>
      </c>
      <c r="F114" s="15">
        <v>11538461</v>
      </c>
    </row>
    <row r="115" spans="3:6" x14ac:dyDescent="0.3">
      <c r="C115" s="1" t="s">
        <v>155</v>
      </c>
      <c r="D115" s="1" t="s">
        <v>156</v>
      </c>
      <c r="E115" s="1" t="s">
        <v>51</v>
      </c>
      <c r="F115" s="15">
        <v>11500000</v>
      </c>
    </row>
    <row r="116" spans="3:6" x14ac:dyDescent="0.3">
      <c r="C116" s="1" t="s">
        <v>157</v>
      </c>
      <c r="D116" s="1" t="s">
        <v>63</v>
      </c>
      <c r="E116" s="1" t="s">
        <v>51</v>
      </c>
      <c r="F116" s="15">
        <v>11200000</v>
      </c>
    </row>
    <row r="117" spans="3:6" x14ac:dyDescent="0.3">
      <c r="C117" s="1" t="s">
        <v>158</v>
      </c>
      <c r="D117" s="1" t="s">
        <v>47</v>
      </c>
      <c r="E117" s="1" t="s">
        <v>6</v>
      </c>
      <c r="F117" s="15">
        <v>11166666</v>
      </c>
    </row>
    <row r="118" spans="3:6" x14ac:dyDescent="0.3">
      <c r="C118" s="1" t="s">
        <v>159</v>
      </c>
      <c r="D118" s="1" t="s">
        <v>9</v>
      </c>
      <c r="E118" s="1" t="s">
        <v>6</v>
      </c>
      <c r="F118" s="15">
        <v>11000000</v>
      </c>
    </row>
    <row r="119" spans="3:6" x14ac:dyDescent="0.3">
      <c r="C119" s="1" t="s">
        <v>160</v>
      </c>
      <c r="D119" s="1" t="s">
        <v>37</v>
      </c>
      <c r="E119" s="1" t="s">
        <v>79</v>
      </c>
      <c r="F119" s="15">
        <v>11000000</v>
      </c>
    </row>
    <row r="120" spans="3:6" x14ac:dyDescent="0.3">
      <c r="C120" s="1" t="s">
        <v>161</v>
      </c>
      <c r="D120" s="1" t="s">
        <v>37</v>
      </c>
      <c r="E120" s="1" t="s">
        <v>64</v>
      </c>
      <c r="F120" s="15">
        <v>11000000</v>
      </c>
    </row>
    <row r="121" spans="3:6" x14ac:dyDescent="0.3">
      <c r="C121" s="1" t="s">
        <v>162</v>
      </c>
      <c r="D121" s="1" t="s">
        <v>9</v>
      </c>
      <c r="E121" s="1" t="s">
        <v>35</v>
      </c>
      <c r="F121" s="15">
        <v>10833333</v>
      </c>
    </row>
    <row r="122" spans="3:6" x14ac:dyDescent="0.3">
      <c r="C122" s="1" t="s">
        <v>163</v>
      </c>
      <c r="D122" s="1" t="s">
        <v>156</v>
      </c>
      <c r="E122" s="1" t="s">
        <v>10</v>
      </c>
      <c r="F122" s="15">
        <v>10666666</v>
      </c>
    </row>
    <row r="123" spans="3:6" x14ac:dyDescent="0.3">
      <c r="C123" s="1" t="s">
        <v>164</v>
      </c>
      <c r="D123" s="1" t="s">
        <v>68</v>
      </c>
      <c r="E123" s="1" t="s">
        <v>111</v>
      </c>
      <c r="F123" s="15">
        <v>10550000</v>
      </c>
    </row>
    <row r="124" spans="3:6" x14ac:dyDescent="0.3">
      <c r="C124" s="1" t="s">
        <v>165</v>
      </c>
      <c r="D124" s="1" t="s">
        <v>29</v>
      </c>
      <c r="E124" s="1" t="s">
        <v>6</v>
      </c>
      <c r="F124" s="15">
        <v>10500000</v>
      </c>
    </row>
    <row r="125" spans="3:6" x14ac:dyDescent="0.3">
      <c r="C125" s="1" t="s">
        <v>166</v>
      </c>
      <c r="D125" s="1" t="s">
        <v>68</v>
      </c>
      <c r="E125" s="1" t="s">
        <v>6</v>
      </c>
      <c r="F125" s="15">
        <v>10500000</v>
      </c>
    </row>
    <row r="126" spans="3:6" x14ac:dyDescent="0.3">
      <c r="C126" s="1" t="s">
        <v>167</v>
      </c>
      <c r="D126" s="1" t="s">
        <v>29</v>
      </c>
      <c r="E126" s="1" t="s">
        <v>79</v>
      </c>
      <c r="F126" s="15">
        <v>10500000</v>
      </c>
    </row>
    <row r="127" spans="3:6" x14ac:dyDescent="0.3">
      <c r="C127" s="1" t="s">
        <v>168</v>
      </c>
      <c r="D127" s="1" t="s">
        <v>24</v>
      </c>
      <c r="E127" s="1" t="s">
        <v>40</v>
      </c>
      <c r="F127" s="15">
        <v>10000000</v>
      </c>
    </row>
    <row r="128" spans="3:6" x14ac:dyDescent="0.3">
      <c r="C128" s="1" t="s">
        <v>169</v>
      </c>
      <c r="D128" s="1" t="s">
        <v>39</v>
      </c>
      <c r="E128" s="1" t="s">
        <v>6</v>
      </c>
      <c r="F128" s="15">
        <v>10000000</v>
      </c>
    </row>
    <row r="129" spans="3:6" x14ac:dyDescent="0.3">
      <c r="C129" s="1" t="s">
        <v>170</v>
      </c>
      <c r="D129" s="1" t="s">
        <v>91</v>
      </c>
      <c r="E129" s="1" t="s">
        <v>43</v>
      </c>
      <c r="F129" s="15">
        <v>10000000</v>
      </c>
    </row>
    <row r="130" spans="3:6" x14ac:dyDescent="0.3">
      <c r="C130" s="1" t="s">
        <v>171</v>
      </c>
      <c r="D130" s="1" t="s">
        <v>18</v>
      </c>
      <c r="E130" s="1" t="s">
        <v>35</v>
      </c>
      <c r="F130" s="15">
        <v>9950000</v>
      </c>
    </row>
    <row r="131" spans="3:6" x14ac:dyDescent="0.3">
      <c r="C131" s="1" t="s">
        <v>172</v>
      </c>
      <c r="D131" s="1" t="s">
        <v>91</v>
      </c>
      <c r="E131" s="1" t="s">
        <v>35</v>
      </c>
      <c r="F131" s="15">
        <v>9928571</v>
      </c>
    </row>
    <row r="132" spans="3:6" x14ac:dyDescent="0.3">
      <c r="C132" s="1" t="s">
        <v>173</v>
      </c>
      <c r="D132" s="1" t="s">
        <v>66</v>
      </c>
      <c r="E132" s="1" t="s">
        <v>6</v>
      </c>
      <c r="F132" s="15">
        <v>9833333</v>
      </c>
    </row>
    <row r="133" spans="3:6" x14ac:dyDescent="0.3">
      <c r="C133" s="1" t="s">
        <v>174</v>
      </c>
      <c r="D133" s="1" t="s">
        <v>39</v>
      </c>
      <c r="E133" s="1" t="s">
        <v>43</v>
      </c>
      <c r="F133" s="15">
        <v>9775000</v>
      </c>
    </row>
    <row r="134" spans="3:6" x14ac:dyDescent="0.3">
      <c r="C134" s="1" t="s">
        <v>175</v>
      </c>
      <c r="D134" s="1" t="s">
        <v>39</v>
      </c>
      <c r="E134" s="1" t="s">
        <v>35</v>
      </c>
      <c r="F134" s="15">
        <v>9700000</v>
      </c>
    </row>
    <row r="135" spans="3:6" x14ac:dyDescent="0.3">
      <c r="C135" s="1" t="s">
        <v>176</v>
      </c>
      <c r="D135" s="1" t="s">
        <v>39</v>
      </c>
      <c r="E135" s="1" t="s">
        <v>6</v>
      </c>
      <c r="F135" s="15">
        <v>9650000</v>
      </c>
    </row>
    <row r="136" spans="3:6" x14ac:dyDescent="0.3">
      <c r="C136" s="1" t="s">
        <v>177</v>
      </c>
      <c r="D136" s="1" t="s">
        <v>24</v>
      </c>
      <c r="E136" s="1" t="s">
        <v>43</v>
      </c>
      <c r="F136" s="15">
        <v>9500000</v>
      </c>
    </row>
    <row r="137" spans="3:6" x14ac:dyDescent="0.3">
      <c r="C137" s="1" t="s">
        <v>178</v>
      </c>
      <c r="D137" s="1" t="s">
        <v>61</v>
      </c>
      <c r="E137" s="1" t="s">
        <v>6</v>
      </c>
      <c r="F137" s="15">
        <v>9500000</v>
      </c>
    </row>
    <row r="138" spans="3:6" x14ac:dyDescent="0.3">
      <c r="C138" s="1" t="s">
        <v>179</v>
      </c>
      <c r="D138" s="1" t="s">
        <v>124</v>
      </c>
      <c r="E138" s="1" t="s">
        <v>6</v>
      </c>
      <c r="F138" s="15">
        <v>9500000</v>
      </c>
    </row>
    <row r="139" spans="3:6" x14ac:dyDescent="0.3">
      <c r="C139" s="1" t="s">
        <v>180</v>
      </c>
      <c r="D139" s="1" t="s">
        <v>27</v>
      </c>
      <c r="E139" s="1" t="s">
        <v>6</v>
      </c>
      <c r="F139" s="15">
        <v>9500000</v>
      </c>
    </row>
    <row r="140" spans="3:6" x14ac:dyDescent="0.3">
      <c r="C140" s="1" t="s">
        <v>181</v>
      </c>
      <c r="D140" s="1" t="s">
        <v>47</v>
      </c>
      <c r="E140" s="1" t="s">
        <v>6</v>
      </c>
      <c r="F140" s="15">
        <v>9350000</v>
      </c>
    </row>
    <row r="141" spans="3:6" x14ac:dyDescent="0.3">
      <c r="C141" s="1" t="s">
        <v>182</v>
      </c>
      <c r="D141" s="1" t="s">
        <v>66</v>
      </c>
      <c r="E141" s="1" t="s">
        <v>6</v>
      </c>
      <c r="F141" s="15">
        <v>9333333</v>
      </c>
    </row>
    <row r="142" spans="3:6" x14ac:dyDescent="0.3">
      <c r="C142" s="1" t="s">
        <v>183</v>
      </c>
      <c r="D142" s="1" t="s">
        <v>37</v>
      </c>
      <c r="E142" s="1" t="s">
        <v>79</v>
      </c>
      <c r="F142" s="15">
        <v>9250000</v>
      </c>
    </row>
    <row r="143" spans="3:6" x14ac:dyDescent="0.3">
      <c r="C143" s="1" t="s">
        <v>184</v>
      </c>
      <c r="D143" s="1" t="s">
        <v>106</v>
      </c>
      <c r="E143" s="1" t="s">
        <v>6</v>
      </c>
      <c r="F143" s="15">
        <v>9166667</v>
      </c>
    </row>
    <row r="144" spans="3:6" x14ac:dyDescent="0.3">
      <c r="C144" s="1" t="s">
        <v>185</v>
      </c>
      <c r="D144" s="1" t="s">
        <v>31</v>
      </c>
      <c r="E144" s="1" t="s">
        <v>79</v>
      </c>
      <c r="F144" s="15">
        <v>9166666</v>
      </c>
    </row>
    <row r="145" spans="3:6" x14ac:dyDescent="0.3">
      <c r="C145" s="1" t="s">
        <v>186</v>
      </c>
      <c r="D145" s="1" t="s">
        <v>31</v>
      </c>
      <c r="E145" s="1" t="s">
        <v>79</v>
      </c>
      <c r="F145" s="15">
        <v>9166666</v>
      </c>
    </row>
    <row r="146" spans="3:6" x14ac:dyDescent="0.3">
      <c r="C146" s="1" t="s">
        <v>187</v>
      </c>
      <c r="D146" s="1" t="s">
        <v>21</v>
      </c>
      <c r="E146" s="1" t="s">
        <v>10</v>
      </c>
      <c r="F146" s="15">
        <v>9100000</v>
      </c>
    </row>
    <row r="147" spans="3:6" x14ac:dyDescent="0.3">
      <c r="C147" s="1" t="s">
        <v>188</v>
      </c>
      <c r="D147" s="1" t="s">
        <v>21</v>
      </c>
      <c r="E147" s="1" t="s">
        <v>6</v>
      </c>
      <c r="F147" s="15">
        <v>9000000</v>
      </c>
    </row>
    <row r="148" spans="3:6" x14ac:dyDescent="0.3">
      <c r="C148" s="1" t="s">
        <v>189</v>
      </c>
      <c r="D148" s="1" t="s">
        <v>106</v>
      </c>
      <c r="E148" s="1" t="s">
        <v>79</v>
      </c>
      <c r="F148" s="15">
        <v>9000000</v>
      </c>
    </row>
    <row r="149" spans="3:6" x14ac:dyDescent="0.3">
      <c r="C149" s="1" t="s">
        <v>190</v>
      </c>
      <c r="D149" s="1" t="s">
        <v>9</v>
      </c>
      <c r="E149" s="1" t="s">
        <v>6</v>
      </c>
      <c r="F149" s="15">
        <v>9000000</v>
      </c>
    </row>
    <row r="150" spans="3:6" x14ac:dyDescent="0.3">
      <c r="C150" s="1" t="s">
        <v>191</v>
      </c>
      <c r="D150" s="1" t="s">
        <v>34</v>
      </c>
      <c r="E150" s="1" t="s">
        <v>79</v>
      </c>
      <c r="F150" s="15">
        <v>9000000</v>
      </c>
    </row>
    <row r="151" spans="3:6" x14ac:dyDescent="0.3">
      <c r="C151" s="1" t="s">
        <v>192</v>
      </c>
      <c r="D151" s="1" t="s">
        <v>5</v>
      </c>
      <c r="E151" s="1" t="s">
        <v>43</v>
      </c>
      <c r="F151" s="15">
        <v>9000000</v>
      </c>
    </row>
    <row r="152" spans="3:6" x14ac:dyDescent="0.3">
      <c r="C152" s="1" t="s">
        <v>193</v>
      </c>
      <c r="D152" s="1" t="s">
        <v>5</v>
      </c>
      <c r="E152" s="1" t="s">
        <v>6</v>
      </c>
      <c r="F152" s="15">
        <v>9000000</v>
      </c>
    </row>
    <row r="153" spans="3:6" x14ac:dyDescent="0.3">
      <c r="C153" s="1" t="s">
        <v>194</v>
      </c>
      <c r="D153" s="1" t="s">
        <v>21</v>
      </c>
      <c r="E153" s="1" t="s">
        <v>32</v>
      </c>
      <c r="F153" s="15">
        <v>9000000</v>
      </c>
    </row>
    <row r="154" spans="3:6" x14ac:dyDescent="0.3">
      <c r="C154" s="1" t="s">
        <v>195</v>
      </c>
      <c r="D154" s="1" t="s">
        <v>21</v>
      </c>
      <c r="E154" s="1" t="s">
        <v>6</v>
      </c>
      <c r="F154" s="15">
        <v>9000000</v>
      </c>
    </row>
    <row r="155" spans="3:6" x14ac:dyDescent="0.3">
      <c r="C155" s="1" t="s">
        <v>196</v>
      </c>
      <c r="D155" s="1" t="s">
        <v>37</v>
      </c>
      <c r="E155" s="1" t="s">
        <v>79</v>
      </c>
      <c r="F155" s="15">
        <v>9000000</v>
      </c>
    </row>
    <row r="156" spans="3:6" x14ac:dyDescent="0.3">
      <c r="C156" s="1" t="s">
        <v>197</v>
      </c>
      <c r="D156" s="1" t="s">
        <v>47</v>
      </c>
      <c r="E156" s="1" t="s">
        <v>79</v>
      </c>
      <c r="F156" s="15">
        <v>8854712</v>
      </c>
    </row>
    <row r="157" spans="3:6" x14ac:dyDescent="0.3">
      <c r="C157" s="1" t="s">
        <v>198</v>
      </c>
      <c r="D157" s="1" t="s">
        <v>5</v>
      </c>
      <c r="E157" s="1" t="s">
        <v>35</v>
      </c>
      <c r="F157" s="15">
        <v>8700000</v>
      </c>
    </row>
    <row r="158" spans="3:6" x14ac:dyDescent="0.3">
      <c r="C158" s="1" t="s">
        <v>199</v>
      </c>
      <c r="D158" s="1" t="s">
        <v>118</v>
      </c>
      <c r="E158" s="1" t="s">
        <v>10</v>
      </c>
      <c r="F158" s="15">
        <v>8583333</v>
      </c>
    </row>
    <row r="159" spans="3:6" x14ac:dyDescent="0.3">
      <c r="C159" s="1" t="s">
        <v>200</v>
      </c>
      <c r="D159" s="1" t="s">
        <v>34</v>
      </c>
      <c r="E159" s="1" t="s">
        <v>6</v>
      </c>
      <c r="F159" s="15">
        <v>8575000</v>
      </c>
    </row>
    <row r="160" spans="3:6" x14ac:dyDescent="0.3">
      <c r="C160" s="1" t="s">
        <v>201</v>
      </c>
      <c r="D160" s="1" t="s">
        <v>14</v>
      </c>
      <c r="E160" s="1" t="s">
        <v>10</v>
      </c>
      <c r="F160" s="15">
        <v>8550000</v>
      </c>
    </row>
    <row r="161" spans="3:6" x14ac:dyDescent="0.3">
      <c r="C161" s="1" t="s">
        <v>202</v>
      </c>
      <c r="D161" s="1" t="s">
        <v>106</v>
      </c>
      <c r="E161" s="1" t="s">
        <v>19</v>
      </c>
      <c r="F161" s="15">
        <v>8500000</v>
      </c>
    </row>
    <row r="162" spans="3:6" x14ac:dyDescent="0.3">
      <c r="C162" s="1" t="s">
        <v>203</v>
      </c>
      <c r="D162" s="1" t="s">
        <v>156</v>
      </c>
      <c r="E162" s="1" t="s">
        <v>64</v>
      </c>
      <c r="F162" s="15">
        <v>8500000</v>
      </c>
    </row>
    <row r="163" spans="3:6" x14ac:dyDescent="0.3">
      <c r="C163" s="1" t="s">
        <v>204</v>
      </c>
      <c r="D163" s="1" t="s">
        <v>9</v>
      </c>
      <c r="E163" s="1" t="s">
        <v>79</v>
      </c>
      <c r="F163" s="15">
        <v>8500000</v>
      </c>
    </row>
    <row r="164" spans="3:6" x14ac:dyDescent="0.3">
      <c r="C164" s="1" t="s">
        <v>205</v>
      </c>
      <c r="D164" s="1" t="s">
        <v>27</v>
      </c>
      <c r="E164" s="1" t="s">
        <v>79</v>
      </c>
      <c r="F164" s="15">
        <v>8500000</v>
      </c>
    </row>
    <row r="165" spans="3:6" x14ac:dyDescent="0.3">
      <c r="C165" s="1" t="s">
        <v>206</v>
      </c>
      <c r="D165" s="1" t="s">
        <v>21</v>
      </c>
      <c r="E165" s="1" t="s">
        <v>43</v>
      </c>
      <c r="F165" s="15">
        <v>8500000</v>
      </c>
    </row>
    <row r="166" spans="3:6" x14ac:dyDescent="0.3">
      <c r="C166" s="1" t="s">
        <v>207</v>
      </c>
      <c r="D166" s="1" t="s">
        <v>124</v>
      </c>
      <c r="E166" s="1" t="s">
        <v>79</v>
      </c>
      <c r="F166" s="15">
        <v>8500000</v>
      </c>
    </row>
    <row r="167" spans="3:6" x14ac:dyDescent="0.3">
      <c r="C167" s="1" t="s">
        <v>208</v>
      </c>
      <c r="D167" s="1" t="s">
        <v>66</v>
      </c>
      <c r="E167" s="1" t="s">
        <v>43</v>
      </c>
      <c r="F167" s="15">
        <v>8333333</v>
      </c>
    </row>
    <row r="168" spans="3:6" x14ac:dyDescent="0.3">
      <c r="C168" s="1" t="s">
        <v>209</v>
      </c>
      <c r="D168" s="1" t="s">
        <v>37</v>
      </c>
      <c r="E168" s="1" t="s">
        <v>79</v>
      </c>
      <c r="F168" s="15">
        <v>8125000</v>
      </c>
    </row>
    <row r="169" spans="3:6" x14ac:dyDescent="0.3">
      <c r="C169" s="1" t="s">
        <v>210</v>
      </c>
      <c r="D169" s="1" t="s">
        <v>124</v>
      </c>
      <c r="E169" s="1" t="s">
        <v>6</v>
      </c>
      <c r="F169" s="15">
        <v>8125000</v>
      </c>
    </row>
    <row r="170" spans="3:6" x14ac:dyDescent="0.3">
      <c r="C170" s="1" t="s">
        <v>211</v>
      </c>
      <c r="D170" s="1" t="s">
        <v>74</v>
      </c>
      <c r="E170" s="1" t="s">
        <v>6</v>
      </c>
      <c r="F170" s="15">
        <v>8000000</v>
      </c>
    </row>
    <row r="171" spans="3:6" x14ac:dyDescent="0.3">
      <c r="C171" s="1" t="s">
        <v>212</v>
      </c>
      <c r="D171" s="1" t="s">
        <v>124</v>
      </c>
      <c r="E171" s="1" t="s">
        <v>51</v>
      </c>
      <c r="F171" s="15">
        <v>8000000</v>
      </c>
    </row>
    <row r="172" spans="3:6" x14ac:dyDescent="0.3">
      <c r="C172" s="1" t="s">
        <v>213</v>
      </c>
      <c r="D172" s="1" t="s">
        <v>124</v>
      </c>
      <c r="E172" s="1" t="s">
        <v>6</v>
      </c>
      <c r="F172" s="15">
        <v>8000000</v>
      </c>
    </row>
    <row r="173" spans="3:6" x14ac:dyDescent="0.3">
      <c r="C173" s="1" t="s">
        <v>214</v>
      </c>
      <c r="D173" s="1" t="s">
        <v>21</v>
      </c>
      <c r="E173" s="1" t="s">
        <v>51</v>
      </c>
      <c r="F173" s="15">
        <v>8000000</v>
      </c>
    </row>
    <row r="174" spans="3:6" x14ac:dyDescent="0.3">
      <c r="C174" s="1" t="s">
        <v>215</v>
      </c>
      <c r="D174" s="1" t="s">
        <v>216</v>
      </c>
      <c r="E174" s="1" t="s">
        <v>40</v>
      </c>
      <c r="F174" s="15">
        <v>8000000</v>
      </c>
    </row>
    <row r="175" spans="3:6" x14ac:dyDescent="0.3">
      <c r="C175" s="1" t="s">
        <v>217</v>
      </c>
      <c r="D175" s="1" t="s">
        <v>34</v>
      </c>
      <c r="E175" s="1" t="s">
        <v>6</v>
      </c>
      <c r="F175" s="15">
        <v>8000000</v>
      </c>
    </row>
    <row r="176" spans="3:6" x14ac:dyDescent="0.3">
      <c r="C176" s="1" t="s">
        <v>218</v>
      </c>
      <c r="D176" s="1" t="s">
        <v>24</v>
      </c>
      <c r="E176" s="1" t="s">
        <v>79</v>
      </c>
      <c r="F176" s="15">
        <v>8000000</v>
      </c>
    </row>
    <row r="177" spans="3:6" x14ac:dyDescent="0.3">
      <c r="C177" s="1" t="s">
        <v>219</v>
      </c>
      <c r="D177" s="1" t="s">
        <v>156</v>
      </c>
      <c r="E177" s="1" t="s">
        <v>6</v>
      </c>
      <c r="F177" s="15">
        <v>7758333</v>
      </c>
    </row>
    <row r="178" spans="3:6" x14ac:dyDescent="0.3">
      <c r="C178" s="1" t="s">
        <v>220</v>
      </c>
      <c r="D178" s="1" t="s">
        <v>37</v>
      </c>
      <c r="E178" s="1" t="s">
        <v>43</v>
      </c>
      <c r="F178" s="15">
        <v>7750000</v>
      </c>
    </row>
    <row r="179" spans="3:6" x14ac:dyDescent="0.3">
      <c r="C179" s="1" t="s">
        <v>221</v>
      </c>
      <c r="D179" s="1" t="s">
        <v>74</v>
      </c>
      <c r="E179" s="1" t="s">
        <v>79</v>
      </c>
      <c r="F179" s="15">
        <v>7750000</v>
      </c>
    </row>
    <row r="180" spans="3:6" x14ac:dyDescent="0.3">
      <c r="C180" s="1" t="s">
        <v>222</v>
      </c>
      <c r="D180" s="1" t="s">
        <v>106</v>
      </c>
      <c r="E180" s="1" t="s">
        <v>51</v>
      </c>
      <c r="F180" s="15">
        <v>7500000</v>
      </c>
    </row>
    <row r="181" spans="3:6" x14ac:dyDescent="0.3">
      <c r="C181" s="1" t="s">
        <v>223</v>
      </c>
      <c r="D181" s="1" t="s">
        <v>29</v>
      </c>
      <c r="E181" s="1" t="s">
        <v>79</v>
      </c>
      <c r="F181" s="15">
        <v>7500000</v>
      </c>
    </row>
    <row r="182" spans="3:6" x14ac:dyDescent="0.3">
      <c r="C182" s="1" t="s">
        <v>224</v>
      </c>
      <c r="D182" s="1" t="s">
        <v>39</v>
      </c>
      <c r="E182" s="1" t="s">
        <v>6</v>
      </c>
      <c r="F182" s="15">
        <v>7500000</v>
      </c>
    </row>
    <row r="183" spans="3:6" x14ac:dyDescent="0.3">
      <c r="C183" s="1" t="s">
        <v>225</v>
      </c>
      <c r="D183" s="1" t="s">
        <v>124</v>
      </c>
      <c r="E183" s="1" t="s">
        <v>43</v>
      </c>
      <c r="F183" s="15">
        <v>7500000</v>
      </c>
    </row>
    <row r="184" spans="3:6" x14ac:dyDescent="0.3">
      <c r="C184" s="1" t="s">
        <v>226</v>
      </c>
      <c r="D184" s="1" t="s">
        <v>34</v>
      </c>
      <c r="E184" s="1" t="s">
        <v>64</v>
      </c>
      <c r="F184" s="15">
        <v>7500000</v>
      </c>
    </row>
    <row r="185" spans="3:6" x14ac:dyDescent="0.3">
      <c r="C185" s="1" t="s">
        <v>227</v>
      </c>
      <c r="D185" s="1" t="s">
        <v>102</v>
      </c>
      <c r="E185" s="1" t="s">
        <v>35</v>
      </c>
      <c r="F185" s="15">
        <v>7500000</v>
      </c>
    </row>
    <row r="186" spans="3:6" x14ac:dyDescent="0.3">
      <c r="C186" s="1" t="s">
        <v>228</v>
      </c>
      <c r="D186" s="1" t="s">
        <v>68</v>
      </c>
      <c r="E186" s="1" t="s">
        <v>79</v>
      </c>
      <c r="F186" s="15">
        <v>7416666</v>
      </c>
    </row>
    <row r="187" spans="3:6" x14ac:dyDescent="0.3">
      <c r="C187" s="1" t="s">
        <v>229</v>
      </c>
      <c r="D187" s="1" t="s">
        <v>29</v>
      </c>
      <c r="E187" s="1" t="s">
        <v>6</v>
      </c>
      <c r="F187" s="15">
        <v>7405000</v>
      </c>
    </row>
    <row r="188" spans="3:6" x14ac:dyDescent="0.3">
      <c r="C188" s="1" t="s">
        <v>230</v>
      </c>
      <c r="D188" s="1" t="s">
        <v>216</v>
      </c>
      <c r="E188" s="1" t="s">
        <v>6</v>
      </c>
      <c r="F188" s="15">
        <v>7400000</v>
      </c>
    </row>
    <row r="189" spans="3:6" x14ac:dyDescent="0.3">
      <c r="C189" s="1" t="s">
        <v>231</v>
      </c>
      <c r="D189" s="1" t="s">
        <v>31</v>
      </c>
      <c r="E189" s="1" t="s">
        <v>79</v>
      </c>
      <c r="F189" s="15">
        <v>7333333</v>
      </c>
    </row>
    <row r="190" spans="3:6" x14ac:dyDescent="0.3">
      <c r="C190" s="1" t="s">
        <v>232</v>
      </c>
      <c r="D190" s="1" t="s">
        <v>106</v>
      </c>
      <c r="E190" s="1" t="s">
        <v>79</v>
      </c>
      <c r="F190" s="15">
        <v>7325000</v>
      </c>
    </row>
    <row r="191" spans="3:6" x14ac:dyDescent="0.3">
      <c r="C191" s="1" t="s">
        <v>233</v>
      </c>
      <c r="D191" s="1" t="s">
        <v>39</v>
      </c>
      <c r="E191" s="1" t="s">
        <v>32</v>
      </c>
      <c r="F191" s="15">
        <v>7285714</v>
      </c>
    </row>
    <row r="192" spans="3:6" x14ac:dyDescent="0.3">
      <c r="C192" s="1" t="s">
        <v>234</v>
      </c>
      <c r="D192" s="1" t="s">
        <v>5</v>
      </c>
      <c r="E192" s="1" t="s">
        <v>51</v>
      </c>
      <c r="F192" s="15">
        <v>7250000</v>
      </c>
    </row>
    <row r="193" spans="3:6" x14ac:dyDescent="0.3">
      <c r="C193" s="1" t="s">
        <v>235</v>
      </c>
      <c r="D193" s="1" t="s">
        <v>34</v>
      </c>
      <c r="E193" s="1" t="s">
        <v>79</v>
      </c>
      <c r="F193" s="15">
        <v>7250000</v>
      </c>
    </row>
    <row r="194" spans="3:6" x14ac:dyDescent="0.3">
      <c r="C194" s="1" t="s">
        <v>236</v>
      </c>
      <c r="D194" s="1" t="s">
        <v>12</v>
      </c>
      <c r="E194" s="1" t="s">
        <v>64</v>
      </c>
      <c r="F194" s="15">
        <v>7000000</v>
      </c>
    </row>
    <row r="195" spans="3:6" x14ac:dyDescent="0.3">
      <c r="C195" s="1" t="s">
        <v>237</v>
      </c>
      <c r="D195" s="1" t="s">
        <v>49</v>
      </c>
      <c r="E195" s="1" t="s">
        <v>6</v>
      </c>
      <c r="F195" s="15">
        <v>7000000</v>
      </c>
    </row>
    <row r="196" spans="3:6" x14ac:dyDescent="0.3">
      <c r="C196" s="1" t="s">
        <v>238</v>
      </c>
      <c r="D196" s="1" t="s">
        <v>66</v>
      </c>
      <c r="E196" s="1" t="s">
        <v>6</v>
      </c>
      <c r="F196" s="15">
        <v>7000000</v>
      </c>
    </row>
    <row r="197" spans="3:6" x14ac:dyDescent="0.3">
      <c r="C197" s="1" t="s">
        <v>239</v>
      </c>
      <c r="D197" s="1" t="s">
        <v>5</v>
      </c>
      <c r="E197" s="1" t="s">
        <v>79</v>
      </c>
      <c r="F197" s="15">
        <v>7000000</v>
      </c>
    </row>
    <row r="198" spans="3:6" x14ac:dyDescent="0.3">
      <c r="C198" s="1" t="s">
        <v>240</v>
      </c>
      <c r="D198" s="1" t="s">
        <v>55</v>
      </c>
      <c r="E198" s="1" t="s">
        <v>6</v>
      </c>
      <c r="F198" s="15">
        <v>7000000</v>
      </c>
    </row>
    <row r="199" spans="3:6" x14ac:dyDescent="0.3">
      <c r="C199" s="1" t="s">
        <v>241</v>
      </c>
      <c r="D199" s="1" t="s">
        <v>91</v>
      </c>
      <c r="E199" s="1" t="s">
        <v>6</v>
      </c>
      <c r="F199" s="15">
        <v>6750000</v>
      </c>
    </row>
    <row r="200" spans="3:6" x14ac:dyDescent="0.3">
      <c r="C200" s="1" t="s">
        <v>242</v>
      </c>
      <c r="D200" s="1" t="s">
        <v>91</v>
      </c>
      <c r="E200" s="1" t="s">
        <v>6</v>
      </c>
      <c r="F200" s="15">
        <v>6750000</v>
      </c>
    </row>
    <row r="201" spans="3:6" x14ac:dyDescent="0.3">
      <c r="C201" s="1" t="s">
        <v>243</v>
      </c>
      <c r="D201" s="1" t="s">
        <v>74</v>
      </c>
      <c r="E201" s="1" t="s">
        <v>43</v>
      </c>
      <c r="F201" s="15">
        <v>6700000</v>
      </c>
    </row>
    <row r="202" spans="3:6" x14ac:dyDescent="0.3">
      <c r="C202" s="1" t="s">
        <v>244</v>
      </c>
      <c r="D202" s="1" t="s">
        <v>156</v>
      </c>
      <c r="E202" s="1" t="s">
        <v>22</v>
      </c>
      <c r="F202" s="15">
        <v>6700000</v>
      </c>
    </row>
    <row r="203" spans="3:6" x14ac:dyDescent="0.3">
      <c r="C203" s="1" t="s">
        <v>245</v>
      </c>
      <c r="D203" s="1" t="s">
        <v>21</v>
      </c>
      <c r="E203" s="1" t="s">
        <v>79</v>
      </c>
      <c r="F203" s="15">
        <v>6666666</v>
      </c>
    </row>
    <row r="204" spans="3:6" x14ac:dyDescent="0.3">
      <c r="C204" s="1" t="s">
        <v>246</v>
      </c>
      <c r="D204" s="1" t="s">
        <v>14</v>
      </c>
      <c r="E204" s="1" t="s">
        <v>40</v>
      </c>
      <c r="F204" s="15">
        <v>6500000</v>
      </c>
    </row>
    <row r="205" spans="3:6" x14ac:dyDescent="0.3">
      <c r="C205" s="1" t="s">
        <v>247</v>
      </c>
      <c r="D205" s="1" t="s">
        <v>24</v>
      </c>
      <c r="E205" s="1" t="s">
        <v>79</v>
      </c>
      <c r="F205" s="15">
        <v>6500000</v>
      </c>
    </row>
    <row r="206" spans="3:6" x14ac:dyDescent="0.3">
      <c r="C206" s="1" t="s">
        <v>248</v>
      </c>
      <c r="D206" s="1" t="s">
        <v>102</v>
      </c>
      <c r="E206" s="1" t="s">
        <v>79</v>
      </c>
      <c r="F206" s="15">
        <v>6500000</v>
      </c>
    </row>
    <row r="207" spans="3:6" x14ac:dyDescent="0.3">
      <c r="C207" s="1" t="s">
        <v>249</v>
      </c>
      <c r="D207" s="1" t="s">
        <v>49</v>
      </c>
      <c r="E207" s="1" t="s">
        <v>79</v>
      </c>
      <c r="F207" s="15">
        <v>6500000</v>
      </c>
    </row>
    <row r="208" spans="3:6" x14ac:dyDescent="0.3">
      <c r="C208" s="1" t="s">
        <v>250</v>
      </c>
      <c r="D208" s="1" t="s">
        <v>5</v>
      </c>
      <c r="E208" s="1" t="s">
        <v>79</v>
      </c>
      <c r="F208" s="15">
        <v>6500000</v>
      </c>
    </row>
    <row r="209" spans="3:6" x14ac:dyDescent="0.3">
      <c r="C209" s="1" t="s">
        <v>251</v>
      </c>
      <c r="D209" s="1" t="s">
        <v>34</v>
      </c>
      <c r="E209" s="1" t="s">
        <v>10</v>
      </c>
      <c r="F209" s="15">
        <v>6428571</v>
      </c>
    </row>
    <row r="210" spans="3:6" x14ac:dyDescent="0.3">
      <c r="C210" s="1" t="s">
        <v>252</v>
      </c>
      <c r="D210" s="1" t="s">
        <v>102</v>
      </c>
      <c r="E210" s="1" t="s">
        <v>79</v>
      </c>
      <c r="F210" s="15">
        <v>6400000</v>
      </c>
    </row>
    <row r="211" spans="3:6" x14ac:dyDescent="0.3">
      <c r="C211" s="1" t="s">
        <v>253</v>
      </c>
      <c r="D211" s="1" t="s">
        <v>74</v>
      </c>
      <c r="E211" s="1" t="s">
        <v>6</v>
      </c>
      <c r="F211" s="15">
        <v>6350000</v>
      </c>
    </row>
    <row r="212" spans="3:6" x14ac:dyDescent="0.3">
      <c r="C212" s="1" t="s">
        <v>254</v>
      </c>
      <c r="D212" s="1" t="s">
        <v>91</v>
      </c>
      <c r="E212" s="1" t="s">
        <v>40</v>
      </c>
      <c r="F212" s="15">
        <v>6333333</v>
      </c>
    </row>
    <row r="213" spans="3:6" x14ac:dyDescent="0.3">
      <c r="C213" s="1" t="s">
        <v>255</v>
      </c>
      <c r="D213" s="1" t="s">
        <v>216</v>
      </c>
      <c r="E213" s="1" t="s">
        <v>79</v>
      </c>
      <c r="F213" s="15">
        <v>6300000</v>
      </c>
    </row>
    <row r="214" spans="3:6" x14ac:dyDescent="0.3">
      <c r="C214" s="1" t="s">
        <v>256</v>
      </c>
      <c r="D214" s="1" t="s">
        <v>29</v>
      </c>
      <c r="E214" s="1" t="s">
        <v>79</v>
      </c>
      <c r="F214" s="15">
        <v>6250000</v>
      </c>
    </row>
    <row r="215" spans="3:6" x14ac:dyDescent="0.3">
      <c r="C215" s="1" t="s">
        <v>257</v>
      </c>
      <c r="D215" s="1" t="s">
        <v>14</v>
      </c>
      <c r="E215" s="1" t="s">
        <v>40</v>
      </c>
      <c r="F215" s="15">
        <v>6250000</v>
      </c>
    </row>
    <row r="216" spans="3:6" x14ac:dyDescent="0.3">
      <c r="C216" s="1" t="s">
        <v>258</v>
      </c>
      <c r="D216" s="1" t="s">
        <v>124</v>
      </c>
      <c r="E216" s="1" t="s">
        <v>35</v>
      </c>
      <c r="F216" s="15">
        <v>6200000</v>
      </c>
    </row>
    <row r="217" spans="3:6" x14ac:dyDescent="0.3">
      <c r="C217" s="1" t="s">
        <v>259</v>
      </c>
      <c r="D217" s="1" t="s">
        <v>12</v>
      </c>
      <c r="E217" s="1" t="s">
        <v>32</v>
      </c>
      <c r="F217" s="15">
        <v>6166666</v>
      </c>
    </row>
    <row r="218" spans="3:6" x14ac:dyDescent="0.3">
      <c r="C218" s="1" t="s">
        <v>260</v>
      </c>
      <c r="D218" s="1" t="s">
        <v>12</v>
      </c>
      <c r="E218" s="1" t="s">
        <v>6</v>
      </c>
      <c r="F218" s="15">
        <v>6050000</v>
      </c>
    </row>
    <row r="219" spans="3:6" x14ac:dyDescent="0.3">
      <c r="C219" s="1" t="s">
        <v>261</v>
      </c>
      <c r="D219" s="1" t="s">
        <v>102</v>
      </c>
      <c r="E219" s="1" t="s">
        <v>79</v>
      </c>
      <c r="F219" s="15">
        <v>6000000</v>
      </c>
    </row>
    <row r="220" spans="3:6" x14ac:dyDescent="0.3">
      <c r="C220" s="1" t="s">
        <v>262</v>
      </c>
      <c r="D220" s="1" t="s">
        <v>47</v>
      </c>
      <c r="E220" s="1" t="s">
        <v>51</v>
      </c>
      <c r="F220" s="15">
        <v>6000000</v>
      </c>
    </row>
    <row r="221" spans="3:6" x14ac:dyDescent="0.3">
      <c r="C221" s="1" t="s">
        <v>263</v>
      </c>
      <c r="D221" s="1" t="s">
        <v>47</v>
      </c>
      <c r="E221" s="1" t="s">
        <v>35</v>
      </c>
      <c r="F221" s="15">
        <v>6000000</v>
      </c>
    </row>
    <row r="222" spans="3:6" x14ac:dyDescent="0.3">
      <c r="C222" s="1" t="s">
        <v>264</v>
      </c>
      <c r="D222" s="1" t="s">
        <v>39</v>
      </c>
      <c r="E222" s="1" t="s">
        <v>79</v>
      </c>
      <c r="F222" s="15">
        <v>6000000</v>
      </c>
    </row>
    <row r="223" spans="3:6" x14ac:dyDescent="0.3">
      <c r="C223" s="1" t="s">
        <v>265</v>
      </c>
      <c r="D223" s="1" t="s">
        <v>21</v>
      </c>
      <c r="E223" s="1" t="s">
        <v>6</v>
      </c>
      <c r="F223" s="15">
        <v>6000000</v>
      </c>
    </row>
    <row r="224" spans="3:6" x14ac:dyDescent="0.3">
      <c r="C224" s="1" t="s">
        <v>266</v>
      </c>
      <c r="D224" s="1" t="s">
        <v>102</v>
      </c>
      <c r="E224" s="1" t="s">
        <v>6</v>
      </c>
      <c r="F224" s="15">
        <v>6000000</v>
      </c>
    </row>
    <row r="225" spans="3:6" x14ac:dyDescent="0.3">
      <c r="C225" s="1" t="s">
        <v>267</v>
      </c>
      <c r="D225" s="1" t="s">
        <v>21</v>
      </c>
      <c r="E225" s="1" t="s">
        <v>6</v>
      </c>
      <c r="F225" s="15">
        <v>5975000</v>
      </c>
    </row>
    <row r="226" spans="3:6" x14ac:dyDescent="0.3">
      <c r="C226" s="1" t="s">
        <v>268</v>
      </c>
      <c r="D226" s="1" t="s">
        <v>102</v>
      </c>
      <c r="E226" s="1" t="s">
        <v>111</v>
      </c>
      <c r="F226" s="15">
        <v>5900000</v>
      </c>
    </row>
    <row r="227" spans="3:6" x14ac:dyDescent="0.3">
      <c r="C227" s="1" t="s">
        <v>269</v>
      </c>
      <c r="D227" s="1" t="s">
        <v>37</v>
      </c>
      <c r="E227" s="1" t="s">
        <v>51</v>
      </c>
      <c r="F227" s="15">
        <v>5900000</v>
      </c>
    </row>
    <row r="228" spans="3:6" x14ac:dyDescent="0.3">
      <c r="C228" s="1" t="s">
        <v>270</v>
      </c>
      <c r="D228" s="1" t="s">
        <v>216</v>
      </c>
      <c r="E228" s="1" t="s">
        <v>10</v>
      </c>
      <c r="F228" s="15">
        <v>5800000</v>
      </c>
    </row>
    <row r="229" spans="3:6" x14ac:dyDescent="0.3">
      <c r="C229" s="1" t="s">
        <v>271</v>
      </c>
      <c r="D229" s="1" t="s">
        <v>24</v>
      </c>
      <c r="E229" s="1" t="s">
        <v>6</v>
      </c>
      <c r="F229" s="15">
        <v>5800000</v>
      </c>
    </row>
    <row r="230" spans="3:6" x14ac:dyDescent="0.3">
      <c r="C230" s="1" t="s">
        <v>272</v>
      </c>
      <c r="D230" s="1" t="s">
        <v>24</v>
      </c>
      <c r="E230" s="1" t="s">
        <v>51</v>
      </c>
      <c r="F230" s="15">
        <v>5750000</v>
      </c>
    </row>
    <row r="231" spans="3:6" x14ac:dyDescent="0.3">
      <c r="C231" s="1" t="s">
        <v>273</v>
      </c>
      <c r="D231" s="1" t="s">
        <v>18</v>
      </c>
      <c r="E231" s="1" t="s">
        <v>6</v>
      </c>
      <c r="F231" s="15">
        <v>5750000</v>
      </c>
    </row>
    <row r="232" spans="3:6" x14ac:dyDescent="0.3">
      <c r="C232" s="1" t="s">
        <v>274</v>
      </c>
      <c r="D232" s="1" t="s">
        <v>47</v>
      </c>
      <c r="E232" s="1" t="s">
        <v>10</v>
      </c>
      <c r="F232" s="15">
        <v>5700000</v>
      </c>
    </row>
    <row r="233" spans="3:6" x14ac:dyDescent="0.3">
      <c r="C233" s="1" t="s">
        <v>275</v>
      </c>
      <c r="D233" s="1" t="s">
        <v>55</v>
      </c>
      <c r="E233" s="1" t="s">
        <v>64</v>
      </c>
      <c r="F233" s="15">
        <v>5666666</v>
      </c>
    </row>
    <row r="234" spans="3:6" x14ac:dyDescent="0.3">
      <c r="C234" s="1" t="s">
        <v>276</v>
      </c>
      <c r="D234" s="1" t="s">
        <v>37</v>
      </c>
      <c r="E234" s="1" t="s">
        <v>6</v>
      </c>
      <c r="F234" s="15">
        <v>5562500</v>
      </c>
    </row>
    <row r="235" spans="3:6" x14ac:dyDescent="0.3">
      <c r="C235" s="1" t="s">
        <v>277</v>
      </c>
      <c r="D235" s="1" t="s">
        <v>37</v>
      </c>
      <c r="E235" s="1" t="s">
        <v>10</v>
      </c>
      <c r="F235" s="15">
        <v>5550000</v>
      </c>
    </row>
    <row r="236" spans="3:6" x14ac:dyDescent="0.3">
      <c r="C236" s="1" t="s">
        <v>278</v>
      </c>
      <c r="D236" s="1" t="s">
        <v>74</v>
      </c>
      <c r="E236" s="1" t="s">
        <v>79</v>
      </c>
      <c r="F236" s="15">
        <v>5500000</v>
      </c>
    </row>
    <row r="237" spans="3:6" x14ac:dyDescent="0.3">
      <c r="C237" s="1" t="s">
        <v>279</v>
      </c>
      <c r="D237" s="1" t="s">
        <v>47</v>
      </c>
      <c r="E237" s="1" t="s">
        <v>6</v>
      </c>
      <c r="F237" s="15">
        <v>5475000</v>
      </c>
    </row>
    <row r="238" spans="3:6" x14ac:dyDescent="0.3">
      <c r="C238" s="1" t="s">
        <v>280</v>
      </c>
      <c r="D238" s="1" t="s">
        <v>18</v>
      </c>
      <c r="E238" s="1" t="s">
        <v>111</v>
      </c>
      <c r="F238" s="15">
        <v>5250000</v>
      </c>
    </row>
    <row r="239" spans="3:6" x14ac:dyDescent="0.3">
      <c r="C239" s="1" t="s">
        <v>281</v>
      </c>
      <c r="D239" s="1" t="s">
        <v>63</v>
      </c>
      <c r="E239" s="1" t="s">
        <v>10</v>
      </c>
      <c r="F239" s="15">
        <v>5250000</v>
      </c>
    </row>
    <row r="240" spans="3:6" x14ac:dyDescent="0.3">
      <c r="C240" s="1" t="s">
        <v>282</v>
      </c>
      <c r="D240" s="1" t="s">
        <v>16</v>
      </c>
      <c r="E240" s="1" t="s">
        <v>10</v>
      </c>
      <c r="F240" s="15">
        <v>5250000</v>
      </c>
    </row>
    <row r="241" spans="3:6" x14ac:dyDescent="0.3">
      <c r="C241" s="1" t="s">
        <v>283</v>
      </c>
      <c r="D241" s="1" t="s">
        <v>102</v>
      </c>
      <c r="E241" s="1" t="s">
        <v>79</v>
      </c>
      <c r="F241" s="15">
        <v>5250000</v>
      </c>
    </row>
    <row r="242" spans="3:6" x14ac:dyDescent="0.3">
      <c r="C242" s="1" t="s">
        <v>284</v>
      </c>
      <c r="D242" s="1" t="s">
        <v>37</v>
      </c>
      <c r="E242" s="1" t="s">
        <v>32</v>
      </c>
      <c r="F242" s="15">
        <v>5200000</v>
      </c>
    </row>
    <row r="243" spans="3:6" x14ac:dyDescent="0.3">
      <c r="C243" s="1" t="s">
        <v>285</v>
      </c>
      <c r="D243" s="1" t="s">
        <v>29</v>
      </c>
      <c r="E243" s="1" t="s">
        <v>111</v>
      </c>
      <c r="F243" s="15">
        <v>5200000</v>
      </c>
    </row>
    <row r="244" spans="3:6" x14ac:dyDescent="0.3">
      <c r="C244" s="1" t="s">
        <v>286</v>
      </c>
      <c r="D244" s="1" t="s">
        <v>34</v>
      </c>
      <c r="E244" s="1" t="s">
        <v>6</v>
      </c>
      <c r="F244" s="15">
        <v>5187500</v>
      </c>
    </row>
    <row r="245" spans="3:6" x14ac:dyDescent="0.3">
      <c r="C245" s="1" t="s">
        <v>287</v>
      </c>
      <c r="D245" s="1" t="s">
        <v>91</v>
      </c>
      <c r="E245" s="1" t="s">
        <v>79</v>
      </c>
      <c r="F245" s="15">
        <v>5125000</v>
      </c>
    </row>
    <row r="246" spans="3:6" x14ac:dyDescent="0.3">
      <c r="C246" s="1" t="s">
        <v>288</v>
      </c>
      <c r="D246" s="1" t="s">
        <v>12</v>
      </c>
      <c r="E246" s="1" t="s">
        <v>6</v>
      </c>
      <c r="F246" s="15">
        <v>5025000</v>
      </c>
    </row>
    <row r="247" spans="3:6" x14ac:dyDescent="0.3">
      <c r="C247" s="1" t="s">
        <v>289</v>
      </c>
      <c r="D247" s="1" t="s">
        <v>14</v>
      </c>
      <c r="E247" s="1" t="s">
        <v>32</v>
      </c>
      <c r="F247" s="15">
        <v>5000000</v>
      </c>
    </row>
    <row r="248" spans="3:6" x14ac:dyDescent="0.3">
      <c r="C248" s="1" t="s">
        <v>290</v>
      </c>
      <c r="D248" s="1" t="s">
        <v>29</v>
      </c>
      <c r="E248" s="1" t="s">
        <v>79</v>
      </c>
      <c r="F248" s="15">
        <v>5000000</v>
      </c>
    </row>
    <row r="249" spans="3:6" x14ac:dyDescent="0.3">
      <c r="C249" s="1" t="s">
        <v>291</v>
      </c>
      <c r="D249" s="1" t="s">
        <v>216</v>
      </c>
      <c r="E249" s="1" t="s">
        <v>35</v>
      </c>
      <c r="F249" s="15">
        <v>5000000</v>
      </c>
    </row>
    <row r="250" spans="3:6" x14ac:dyDescent="0.3">
      <c r="C250" s="1" t="s">
        <v>292</v>
      </c>
      <c r="D250" s="1" t="s">
        <v>31</v>
      </c>
      <c r="E250" s="1" t="s">
        <v>111</v>
      </c>
      <c r="F250" s="15">
        <v>5000000</v>
      </c>
    </row>
    <row r="251" spans="3:6" x14ac:dyDescent="0.3">
      <c r="C251" s="1" t="s">
        <v>293</v>
      </c>
      <c r="D251" s="1" t="s">
        <v>21</v>
      </c>
      <c r="E251" s="1" t="s">
        <v>79</v>
      </c>
      <c r="F251" s="15">
        <v>5000000</v>
      </c>
    </row>
    <row r="252" spans="3:6" x14ac:dyDescent="0.3">
      <c r="C252" s="1" t="s">
        <v>294</v>
      </c>
      <c r="D252" s="1" t="s">
        <v>49</v>
      </c>
      <c r="E252" s="1" t="s">
        <v>79</v>
      </c>
      <c r="F252" s="15">
        <v>5000000</v>
      </c>
    </row>
    <row r="253" spans="3:6" x14ac:dyDescent="0.3">
      <c r="C253" s="1" t="s">
        <v>295</v>
      </c>
      <c r="D253" s="1" t="s">
        <v>216</v>
      </c>
      <c r="E253" s="1" t="s">
        <v>111</v>
      </c>
      <c r="F253" s="15">
        <v>5000000</v>
      </c>
    </row>
    <row r="254" spans="3:6" x14ac:dyDescent="0.3">
      <c r="C254" s="1" t="s">
        <v>296</v>
      </c>
      <c r="D254" s="1" t="s">
        <v>24</v>
      </c>
      <c r="E254" s="1" t="s">
        <v>111</v>
      </c>
      <c r="F254" s="15">
        <v>5000000</v>
      </c>
    </row>
    <row r="255" spans="3:6" x14ac:dyDescent="0.3">
      <c r="C255" s="1" t="s">
        <v>297</v>
      </c>
      <c r="D255" s="1" t="s">
        <v>16</v>
      </c>
      <c r="E255" s="1" t="s">
        <v>64</v>
      </c>
      <c r="F255" s="15">
        <v>5000000</v>
      </c>
    </row>
    <row r="256" spans="3:6" x14ac:dyDescent="0.3">
      <c r="C256" s="1" t="s">
        <v>298</v>
      </c>
      <c r="D256" s="1" t="s">
        <v>61</v>
      </c>
      <c r="E256" s="1" t="s">
        <v>43</v>
      </c>
      <c r="F256" s="15">
        <v>4825000</v>
      </c>
    </row>
    <row r="257" spans="3:6" x14ac:dyDescent="0.3">
      <c r="C257" s="1" t="s">
        <v>299</v>
      </c>
      <c r="D257" s="1" t="s">
        <v>12</v>
      </c>
      <c r="E257" s="1" t="s">
        <v>40</v>
      </c>
      <c r="F257" s="15">
        <v>4825000</v>
      </c>
    </row>
    <row r="258" spans="3:6" x14ac:dyDescent="0.3">
      <c r="C258" s="1" t="s">
        <v>300</v>
      </c>
      <c r="D258" s="1" t="s">
        <v>47</v>
      </c>
      <c r="E258" s="1" t="s">
        <v>79</v>
      </c>
      <c r="F258" s="15">
        <v>4800000</v>
      </c>
    </row>
    <row r="259" spans="3:6" x14ac:dyDescent="0.3">
      <c r="C259" s="1" t="s">
        <v>301</v>
      </c>
      <c r="D259" s="1" t="s">
        <v>124</v>
      </c>
      <c r="E259" s="1" t="s">
        <v>40</v>
      </c>
      <c r="F259" s="15">
        <v>4800000</v>
      </c>
    </row>
    <row r="260" spans="3:6" x14ac:dyDescent="0.3">
      <c r="C260" s="1" t="s">
        <v>302</v>
      </c>
      <c r="D260" s="1" t="s">
        <v>156</v>
      </c>
      <c r="E260" s="1" t="s">
        <v>79</v>
      </c>
      <c r="F260" s="15">
        <v>4750000</v>
      </c>
    </row>
    <row r="261" spans="3:6" x14ac:dyDescent="0.3">
      <c r="C261" s="1" t="s">
        <v>303</v>
      </c>
      <c r="D261" s="1" t="s">
        <v>91</v>
      </c>
      <c r="E261" s="1" t="s">
        <v>32</v>
      </c>
      <c r="F261" s="15">
        <v>4675000</v>
      </c>
    </row>
    <row r="262" spans="3:6" x14ac:dyDescent="0.3">
      <c r="C262" s="1" t="s">
        <v>304</v>
      </c>
      <c r="D262" s="1" t="s">
        <v>16</v>
      </c>
      <c r="E262" s="1" t="s">
        <v>79</v>
      </c>
      <c r="F262" s="15">
        <v>4666666</v>
      </c>
    </row>
    <row r="263" spans="3:6" x14ac:dyDescent="0.3">
      <c r="C263" s="1" t="s">
        <v>305</v>
      </c>
      <c r="D263" s="1" t="s">
        <v>63</v>
      </c>
      <c r="E263" s="1" t="s">
        <v>35</v>
      </c>
      <c r="F263" s="15">
        <v>4666666</v>
      </c>
    </row>
    <row r="264" spans="3:6" x14ac:dyDescent="0.3">
      <c r="C264" s="1" t="s">
        <v>306</v>
      </c>
      <c r="D264" s="1" t="s">
        <v>106</v>
      </c>
      <c r="E264" s="1" t="s">
        <v>79</v>
      </c>
      <c r="F264" s="15">
        <v>4650000</v>
      </c>
    </row>
    <row r="265" spans="3:6" x14ac:dyDescent="0.3">
      <c r="C265" s="1" t="s">
        <v>307</v>
      </c>
      <c r="D265" s="1" t="s">
        <v>106</v>
      </c>
      <c r="E265" s="1" t="s">
        <v>43</v>
      </c>
      <c r="F265" s="15">
        <v>4625000</v>
      </c>
    </row>
    <row r="266" spans="3:6" x14ac:dyDescent="0.3">
      <c r="C266" s="1" t="s">
        <v>308</v>
      </c>
      <c r="D266" s="1" t="s">
        <v>31</v>
      </c>
      <c r="E266" s="1" t="s">
        <v>51</v>
      </c>
      <c r="F266" s="15">
        <v>4525000</v>
      </c>
    </row>
    <row r="267" spans="3:6" x14ac:dyDescent="0.3">
      <c r="C267" s="1" t="s">
        <v>309</v>
      </c>
      <c r="D267" s="1" t="s">
        <v>24</v>
      </c>
      <c r="E267" s="1" t="s">
        <v>79</v>
      </c>
      <c r="F267" s="15">
        <v>4500000</v>
      </c>
    </row>
    <row r="268" spans="3:6" x14ac:dyDescent="0.3">
      <c r="C268" s="1" t="s">
        <v>310</v>
      </c>
      <c r="D268" s="1" t="s">
        <v>16</v>
      </c>
      <c r="E268" s="1" t="s">
        <v>32</v>
      </c>
      <c r="F268" s="15">
        <v>4500000</v>
      </c>
    </row>
    <row r="269" spans="3:6" x14ac:dyDescent="0.3">
      <c r="C269" s="1" t="s">
        <v>311</v>
      </c>
      <c r="D269" s="1" t="s">
        <v>24</v>
      </c>
      <c r="E269" s="1" t="s">
        <v>6</v>
      </c>
      <c r="F269" s="15">
        <v>4500000</v>
      </c>
    </row>
    <row r="270" spans="3:6" x14ac:dyDescent="0.3">
      <c r="C270" s="1" t="s">
        <v>312</v>
      </c>
      <c r="D270" s="1" t="s">
        <v>68</v>
      </c>
      <c r="E270" s="1" t="s">
        <v>6</v>
      </c>
      <c r="F270" s="15">
        <v>4500000</v>
      </c>
    </row>
    <row r="271" spans="3:6" x14ac:dyDescent="0.3">
      <c r="C271" s="1" t="s">
        <v>313</v>
      </c>
      <c r="D271" s="1" t="s">
        <v>118</v>
      </c>
      <c r="E271" s="1" t="s">
        <v>51</v>
      </c>
      <c r="F271" s="15">
        <v>4412500</v>
      </c>
    </row>
    <row r="272" spans="3:6" x14ac:dyDescent="0.3">
      <c r="C272" s="1" t="s">
        <v>314</v>
      </c>
      <c r="D272" s="1" t="s">
        <v>14</v>
      </c>
      <c r="E272" s="1" t="s">
        <v>6</v>
      </c>
      <c r="F272" s="15">
        <v>4300000</v>
      </c>
    </row>
    <row r="273" spans="3:6" x14ac:dyDescent="0.3">
      <c r="C273" s="1" t="s">
        <v>315</v>
      </c>
      <c r="D273" s="1" t="s">
        <v>12</v>
      </c>
      <c r="E273" s="1" t="s">
        <v>51</v>
      </c>
      <c r="F273" s="15">
        <v>4250000</v>
      </c>
    </row>
    <row r="274" spans="3:6" x14ac:dyDescent="0.3">
      <c r="C274" s="1" t="s">
        <v>316</v>
      </c>
      <c r="D274" s="1" t="s">
        <v>12</v>
      </c>
      <c r="E274" s="1" t="s">
        <v>43</v>
      </c>
      <c r="F274" s="15">
        <v>4250000</v>
      </c>
    </row>
    <row r="275" spans="3:6" x14ac:dyDescent="0.3">
      <c r="C275" s="1" t="s">
        <v>317</v>
      </c>
      <c r="D275" s="1" t="s">
        <v>49</v>
      </c>
      <c r="E275" s="1" t="s">
        <v>79</v>
      </c>
      <c r="F275" s="15">
        <v>4225000</v>
      </c>
    </row>
    <row r="276" spans="3:6" x14ac:dyDescent="0.3">
      <c r="C276" s="1" t="s">
        <v>318</v>
      </c>
      <c r="D276" s="1" t="s">
        <v>24</v>
      </c>
      <c r="E276" s="1" t="s">
        <v>79</v>
      </c>
      <c r="F276" s="15">
        <v>4225000</v>
      </c>
    </row>
    <row r="277" spans="3:6" x14ac:dyDescent="0.3">
      <c r="C277" s="1" t="s">
        <v>319</v>
      </c>
      <c r="D277" s="1" t="s">
        <v>106</v>
      </c>
      <c r="E277" s="1" t="s">
        <v>6</v>
      </c>
      <c r="F277" s="15">
        <v>4200000</v>
      </c>
    </row>
    <row r="278" spans="3:6" x14ac:dyDescent="0.3">
      <c r="C278" s="1" t="s">
        <v>320</v>
      </c>
      <c r="D278" s="1" t="s">
        <v>124</v>
      </c>
      <c r="E278" s="1" t="s">
        <v>64</v>
      </c>
      <c r="F278" s="15">
        <v>4190000</v>
      </c>
    </row>
    <row r="279" spans="3:6" x14ac:dyDescent="0.3">
      <c r="C279" s="1" t="s">
        <v>321</v>
      </c>
      <c r="D279" s="1" t="s">
        <v>124</v>
      </c>
      <c r="E279" s="1" t="s">
        <v>111</v>
      </c>
      <c r="F279" s="15">
        <v>4158333</v>
      </c>
    </row>
    <row r="280" spans="3:6" x14ac:dyDescent="0.3">
      <c r="C280" s="1" t="s">
        <v>322</v>
      </c>
      <c r="D280" s="1" t="s">
        <v>68</v>
      </c>
      <c r="E280" s="1" t="s">
        <v>32</v>
      </c>
      <c r="F280" s="15">
        <v>4150000</v>
      </c>
    </row>
    <row r="281" spans="3:6" x14ac:dyDescent="0.3">
      <c r="C281" s="1" t="s">
        <v>323</v>
      </c>
      <c r="D281" s="1" t="s">
        <v>12</v>
      </c>
      <c r="E281" s="1" t="s">
        <v>35</v>
      </c>
      <c r="F281" s="15">
        <v>4125000</v>
      </c>
    </row>
    <row r="282" spans="3:6" x14ac:dyDescent="0.3">
      <c r="C282" s="1" t="s">
        <v>324</v>
      </c>
      <c r="D282" s="1" t="s">
        <v>24</v>
      </c>
      <c r="E282" s="1" t="s">
        <v>6</v>
      </c>
      <c r="F282" s="15">
        <v>4100000</v>
      </c>
    </row>
    <row r="283" spans="3:6" x14ac:dyDescent="0.3">
      <c r="C283" s="1" t="s">
        <v>325</v>
      </c>
      <c r="D283" s="1" t="s">
        <v>118</v>
      </c>
      <c r="E283" s="1" t="s">
        <v>64</v>
      </c>
      <c r="F283" s="15">
        <v>4100000</v>
      </c>
    </row>
    <row r="284" spans="3:6" x14ac:dyDescent="0.3">
      <c r="C284" s="1" t="s">
        <v>326</v>
      </c>
      <c r="D284" s="1" t="s">
        <v>21</v>
      </c>
      <c r="E284" s="1" t="s">
        <v>35</v>
      </c>
      <c r="F284" s="15">
        <v>4025000</v>
      </c>
    </row>
    <row r="285" spans="3:6" x14ac:dyDescent="0.3">
      <c r="C285" s="1" t="s">
        <v>327</v>
      </c>
      <c r="D285" s="1" t="s">
        <v>18</v>
      </c>
      <c r="E285" s="1" t="s">
        <v>79</v>
      </c>
      <c r="F285" s="15">
        <v>4000000</v>
      </c>
    </row>
    <row r="286" spans="3:6" x14ac:dyDescent="0.3">
      <c r="C286" s="1" t="s">
        <v>328</v>
      </c>
      <c r="D286" s="1" t="s">
        <v>16</v>
      </c>
      <c r="E286" s="1" t="s">
        <v>111</v>
      </c>
      <c r="F286" s="15">
        <v>4000000</v>
      </c>
    </row>
    <row r="287" spans="3:6" x14ac:dyDescent="0.3">
      <c r="C287" s="1" t="s">
        <v>329</v>
      </c>
      <c r="D287" s="1" t="s">
        <v>102</v>
      </c>
      <c r="E287" s="1" t="s">
        <v>6</v>
      </c>
      <c r="F287" s="15">
        <v>4000000</v>
      </c>
    </row>
    <row r="288" spans="3:6" x14ac:dyDescent="0.3">
      <c r="C288" s="1" t="s">
        <v>330</v>
      </c>
      <c r="D288" s="1" t="s">
        <v>55</v>
      </c>
      <c r="E288" s="1" t="s">
        <v>43</v>
      </c>
      <c r="F288" s="15">
        <v>4000000</v>
      </c>
    </row>
    <row r="289" spans="3:6" x14ac:dyDescent="0.3">
      <c r="C289" s="1" t="s">
        <v>331</v>
      </c>
      <c r="D289" s="1" t="s">
        <v>66</v>
      </c>
      <c r="E289" s="1" t="s">
        <v>79</v>
      </c>
      <c r="F289" s="15">
        <v>4000000</v>
      </c>
    </row>
    <row r="290" spans="3:6" x14ac:dyDescent="0.3">
      <c r="C290" s="1" t="s">
        <v>332</v>
      </c>
      <c r="D290" s="1" t="s">
        <v>5</v>
      </c>
      <c r="E290" s="1" t="s">
        <v>40</v>
      </c>
      <c r="F290" s="15">
        <v>4000000</v>
      </c>
    </row>
    <row r="291" spans="3:6" x14ac:dyDescent="0.3">
      <c r="C291" s="1" t="s">
        <v>333</v>
      </c>
      <c r="D291" s="1" t="s">
        <v>5</v>
      </c>
      <c r="E291" s="1" t="s">
        <v>51</v>
      </c>
      <c r="F291" s="15">
        <v>4000000</v>
      </c>
    </row>
    <row r="292" spans="3:6" x14ac:dyDescent="0.3">
      <c r="C292" s="1" t="s">
        <v>334</v>
      </c>
      <c r="D292" s="1" t="s">
        <v>5</v>
      </c>
      <c r="E292" s="1" t="s">
        <v>22</v>
      </c>
      <c r="F292" s="15">
        <v>4000000</v>
      </c>
    </row>
    <row r="293" spans="3:6" x14ac:dyDescent="0.3">
      <c r="C293" s="1" t="s">
        <v>335</v>
      </c>
      <c r="D293" s="1" t="s">
        <v>124</v>
      </c>
      <c r="E293" s="1" t="s">
        <v>79</v>
      </c>
      <c r="F293" s="15">
        <v>4000000</v>
      </c>
    </row>
    <row r="294" spans="3:6" x14ac:dyDescent="0.3">
      <c r="C294" s="1" t="s">
        <v>336</v>
      </c>
      <c r="D294" s="1" t="s">
        <v>106</v>
      </c>
      <c r="E294" s="1" t="s">
        <v>35</v>
      </c>
      <c r="F294" s="15">
        <v>4000000</v>
      </c>
    </row>
    <row r="295" spans="3:6" x14ac:dyDescent="0.3">
      <c r="C295" s="1" t="s">
        <v>337</v>
      </c>
      <c r="D295" s="1" t="s">
        <v>216</v>
      </c>
      <c r="E295" s="1" t="s">
        <v>6</v>
      </c>
      <c r="F295" s="15">
        <v>3900000</v>
      </c>
    </row>
    <row r="296" spans="3:6" x14ac:dyDescent="0.3">
      <c r="C296" s="1" t="s">
        <v>338</v>
      </c>
      <c r="D296" s="1" t="s">
        <v>49</v>
      </c>
      <c r="E296" s="1" t="s">
        <v>43</v>
      </c>
      <c r="F296" s="15">
        <v>3850000</v>
      </c>
    </row>
    <row r="297" spans="3:6" x14ac:dyDescent="0.3">
      <c r="C297" s="1" t="s">
        <v>339</v>
      </c>
      <c r="D297" s="1" t="s">
        <v>12</v>
      </c>
      <c r="E297" s="1" t="s">
        <v>22</v>
      </c>
      <c r="F297" s="15">
        <v>3750000</v>
      </c>
    </row>
    <row r="298" spans="3:6" x14ac:dyDescent="0.3">
      <c r="C298" s="1" t="s">
        <v>340</v>
      </c>
      <c r="D298" s="1" t="s">
        <v>5</v>
      </c>
      <c r="E298" s="1" t="s">
        <v>111</v>
      </c>
      <c r="F298" s="15">
        <v>3725000</v>
      </c>
    </row>
    <row r="299" spans="3:6" x14ac:dyDescent="0.3">
      <c r="C299" s="1" t="s">
        <v>341</v>
      </c>
      <c r="D299" s="1" t="s">
        <v>16</v>
      </c>
      <c r="E299" s="1" t="s">
        <v>43</v>
      </c>
      <c r="F299" s="15">
        <v>3725000</v>
      </c>
    </row>
    <row r="300" spans="3:6" x14ac:dyDescent="0.3">
      <c r="C300" s="1" t="s">
        <v>342</v>
      </c>
      <c r="D300" s="1" t="s">
        <v>9</v>
      </c>
      <c r="E300" s="1" t="s">
        <v>6</v>
      </c>
      <c r="F300" s="15">
        <v>3700000</v>
      </c>
    </row>
    <row r="301" spans="3:6" x14ac:dyDescent="0.3">
      <c r="C301" s="1" t="s">
        <v>343</v>
      </c>
      <c r="D301" s="1" t="s">
        <v>91</v>
      </c>
      <c r="E301" s="1" t="s">
        <v>6</v>
      </c>
      <c r="F301" s="15">
        <v>3700000</v>
      </c>
    </row>
    <row r="302" spans="3:6" x14ac:dyDescent="0.3">
      <c r="C302" s="1" t="s">
        <v>344</v>
      </c>
      <c r="D302" s="1" t="s">
        <v>12</v>
      </c>
      <c r="E302" s="1" t="s">
        <v>111</v>
      </c>
      <c r="F302" s="15">
        <v>3662500</v>
      </c>
    </row>
    <row r="303" spans="3:6" x14ac:dyDescent="0.3">
      <c r="C303" s="1" t="s">
        <v>345</v>
      </c>
      <c r="D303" s="1" t="s">
        <v>102</v>
      </c>
      <c r="E303" s="1" t="s">
        <v>43</v>
      </c>
      <c r="F303" s="15">
        <v>3600000</v>
      </c>
    </row>
    <row r="304" spans="3:6" x14ac:dyDescent="0.3">
      <c r="C304" s="1" t="s">
        <v>346</v>
      </c>
      <c r="D304" s="1" t="s">
        <v>14</v>
      </c>
      <c r="E304" s="1" t="s">
        <v>43</v>
      </c>
      <c r="F304" s="15">
        <v>3575000</v>
      </c>
    </row>
    <row r="305" spans="3:6" x14ac:dyDescent="0.3">
      <c r="C305" s="1" t="s">
        <v>347</v>
      </c>
      <c r="D305" s="1" t="s">
        <v>21</v>
      </c>
      <c r="E305" s="1" t="s">
        <v>51</v>
      </c>
      <c r="F305" s="15">
        <v>3515000</v>
      </c>
    </row>
    <row r="306" spans="3:6" x14ac:dyDescent="0.3">
      <c r="C306" s="1" t="s">
        <v>348</v>
      </c>
      <c r="D306" s="1" t="s">
        <v>66</v>
      </c>
      <c r="E306" s="1" t="s">
        <v>32</v>
      </c>
      <c r="F306" s="15">
        <v>3500000</v>
      </c>
    </row>
    <row r="307" spans="3:6" x14ac:dyDescent="0.3">
      <c r="C307" s="1" t="s">
        <v>349</v>
      </c>
      <c r="D307" s="1" t="s">
        <v>216</v>
      </c>
      <c r="E307" s="1" t="s">
        <v>6</v>
      </c>
      <c r="F307" s="15">
        <v>3500000</v>
      </c>
    </row>
    <row r="308" spans="3:6" x14ac:dyDescent="0.3">
      <c r="C308" s="1" t="s">
        <v>350</v>
      </c>
      <c r="D308" s="1" t="s">
        <v>118</v>
      </c>
      <c r="E308" s="1" t="s">
        <v>35</v>
      </c>
      <c r="F308" s="15">
        <v>3500000</v>
      </c>
    </row>
    <row r="309" spans="3:6" x14ac:dyDescent="0.3">
      <c r="C309" s="1" t="s">
        <v>351</v>
      </c>
      <c r="D309" s="1" t="s">
        <v>16</v>
      </c>
      <c r="E309" s="1" t="s">
        <v>43</v>
      </c>
      <c r="F309" s="15">
        <v>3500000</v>
      </c>
    </row>
    <row r="310" spans="3:6" x14ac:dyDescent="0.3">
      <c r="C310" s="1" t="s">
        <v>352</v>
      </c>
      <c r="D310" s="1" t="s">
        <v>9</v>
      </c>
      <c r="E310" s="1" t="s">
        <v>6</v>
      </c>
      <c r="F310" s="15">
        <v>3400000</v>
      </c>
    </row>
    <row r="311" spans="3:6" x14ac:dyDescent="0.3">
      <c r="C311" s="1" t="s">
        <v>353</v>
      </c>
      <c r="D311" s="1" t="s">
        <v>29</v>
      </c>
      <c r="E311" s="1" t="s">
        <v>111</v>
      </c>
      <c r="F311" s="15">
        <v>3400000</v>
      </c>
    </row>
    <row r="312" spans="3:6" x14ac:dyDescent="0.3">
      <c r="C312" s="1" t="s">
        <v>354</v>
      </c>
      <c r="D312" s="1" t="s">
        <v>29</v>
      </c>
      <c r="E312" s="1" t="s">
        <v>64</v>
      </c>
      <c r="F312" s="15">
        <v>3390000</v>
      </c>
    </row>
    <row r="313" spans="3:6" x14ac:dyDescent="0.3">
      <c r="C313" s="1" t="s">
        <v>355</v>
      </c>
      <c r="D313" s="1" t="s">
        <v>9</v>
      </c>
      <c r="E313" s="1" t="s">
        <v>51</v>
      </c>
      <c r="F313" s="15">
        <v>3350000</v>
      </c>
    </row>
    <row r="314" spans="3:6" x14ac:dyDescent="0.3">
      <c r="C314" s="1" t="s">
        <v>356</v>
      </c>
      <c r="D314" s="1" t="s">
        <v>31</v>
      </c>
      <c r="E314" s="1" t="s">
        <v>6</v>
      </c>
      <c r="F314" s="15">
        <v>3325000</v>
      </c>
    </row>
    <row r="315" spans="3:6" x14ac:dyDescent="0.3">
      <c r="C315" s="1" t="s">
        <v>357</v>
      </c>
      <c r="D315" s="1" t="s">
        <v>66</v>
      </c>
      <c r="E315" s="1" t="s">
        <v>35</v>
      </c>
      <c r="F315" s="15">
        <v>3300000</v>
      </c>
    </row>
    <row r="316" spans="3:6" x14ac:dyDescent="0.3">
      <c r="C316" s="1" t="s">
        <v>358</v>
      </c>
      <c r="D316" s="1" t="s">
        <v>216</v>
      </c>
      <c r="E316" s="1" t="s">
        <v>6</v>
      </c>
      <c r="F316" s="15">
        <v>3300000</v>
      </c>
    </row>
    <row r="317" spans="3:6" x14ac:dyDescent="0.3">
      <c r="C317" s="1" t="s">
        <v>359</v>
      </c>
      <c r="D317" s="1" t="s">
        <v>12</v>
      </c>
      <c r="E317" s="1" t="s">
        <v>79</v>
      </c>
      <c r="F317" s="15">
        <v>3250000</v>
      </c>
    </row>
    <row r="318" spans="3:6" x14ac:dyDescent="0.3">
      <c r="C318" s="1" t="s">
        <v>360</v>
      </c>
      <c r="D318" s="1" t="s">
        <v>12</v>
      </c>
      <c r="E318" s="1" t="s">
        <v>79</v>
      </c>
      <c r="F318" s="15">
        <v>3250000</v>
      </c>
    </row>
    <row r="319" spans="3:6" x14ac:dyDescent="0.3">
      <c r="C319" s="1" t="s">
        <v>361</v>
      </c>
      <c r="D319" s="1" t="s">
        <v>63</v>
      </c>
      <c r="E319" s="1" t="s">
        <v>79</v>
      </c>
      <c r="F319" s="15">
        <v>3250000</v>
      </c>
    </row>
    <row r="320" spans="3:6" x14ac:dyDescent="0.3">
      <c r="C320" s="1" t="s">
        <v>362</v>
      </c>
      <c r="D320" s="1" t="s">
        <v>66</v>
      </c>
      <c r="E320" s="1" t="s">
        <v>51</v>
      </c>
      <c r="F320" s="15">
        <v>3250000</v>
      </c>
    </row>
    <row r="321" spans="3:6" x14ac:dyDescent="0.3">
      <c r="C321" s="1" t="s">
        <v>363</v>
      </c>
      <c r="D321" s="1" t="s">
        <v>5</v>
      </c>
      <c r="E321" s="1" t="s">
        <v>10</v>
      </c>
      <c r="F321" s="15">
        <v>3250000</v>
      </c>
    </row>
    <row r="322" spans="3:6" x14ac:dyDescent="0.3">
      <c r="C322" s="1" t="s">
        <v>364</v>
      </c>
      <c r="D322" s="1" t="s">
        <v>78</v>
      </c>
      <c r="E322" s="1" t="s">
        <v>6</v>
      </c>
      <c r="F322" s="15">
        <v>3200000</v>
      </c>
    </row>
    <row r="323" spans="3:6" x14ac:dyDescent="0.3">
      <c r="C323" s="1" t="s">
        <v>365</v>
      </c>
      <c r="D323" s="1" t="s">
        <v>156</v>
      </c>
      <c r="E323" s="1" t="s">
        <v>79</v>
      </c>
      <c r="F323" s="15">
        <v>3175000</v>
      </c>
    </row>
    <row r="324" spans="3:6" x14ac:dyDescent="0.3">
      <c r="C324" s="1" t="s">
        <v>366</v>
      </c>
      <c r="D324" s="1" t="s">
        <v>91</v>
      </c>
      <c r="E324" s="1" t="s">
        <v>79</v>
      </c>
      <c r="F324" s="15">
        <v>3175000</v>
      </c>
    </row>
    <row r="325" spans="3:6" x14ac:dyDescent="0.3">
      <c r="C325" s="1" t="s">
        <v>367</v>
      </c>
      <c r="D325" s="1" t="s">
        <v>78</v>
      </c>
      <c r="E325" s="1" t="s">
        <v>111</v>
      </c>
      <c r="F325" s="15">
        <v>3155000</v>
      </c>
    </row>
    <row r="326" spans="3:6" x14ac:dyDescent="0.3">
      <c r="C326" s="1" t="s">
        <v>368</v>
      </c>
      <c r="D326" s="1" t="s">
        <v>102</v>
      </c>
      <c r="E326" s="1" t="s">
        <v>6</v>
      </c>
      <c r="F326" s="15">
        <v>3150000</v>
      </c>
    </row>
    <row r="327" spans="3:6" x14ac:dyDescent="0.3">
      <c r="C327" s="1" t="s">
        <v>369</v>
      </c>
      <c r="D327" s="1" t="s">
        <v>16</v>
      </c>
      <c r="E327" s="1" t="s">
        <v>6</v>
      </c>
      <c r="F327" s="15">
        <v>3125000</v>
      </c>
    </row>
    <row r="328" spans="3:6" x14ac:dyDescent="0.3">
      <c r="C328" s="1" t="s">
        <v>370</v>
      </c>
      <c r="D328" s="1" t="s">
        <v>24</v>
      </c>
      <c r="E328" s="1" t="s">
        <v>6</v>
      </c>
      <c r="F328" s="15">
        <v>3110000</v>
      </c>
    </row>
    <row r="329" spans="3:6" x14ac:dyDescent="0.3">
      <c r="C329" s="1" t="s">
        <v>371</v>
      </c>
      <c r="D329" s="1" t="s">
        <v>55</v>
      </c>
      <c r="E329" s="1" t="s">
        <v>79</v>
      </c>
      <c r="F329" s="15">
        <v>3062500</v>
      </c>
    </row>
    <row r="330" spans="3:6" x14ac:dyDescent="0.3">
      <c r="C330" s="1" t="s">
        <v>372</v>
      </c>
      <c r="D330" s="1" t="s">
        <v>68</v>
      </c>
      <c r="E330" s="1" t="s">
        <v>10</v>
      </c>
      <c r="F330" s="15">
        <v>3000000</v>
      </c>
    </row>
    <row r="331" spans="3:6" x14ac:dyDescent="0.3">
      <c r="C331" s="1" t="s">
        <v>373</v>
      </c>
      <c r="D331" s="1" t="s">
        <v>63</v>
      </c>
      <c r="E331" s="1" t="s">
        <v>111</v>
      </c>
      <c r="F331" s="15">
        <v>3000000</v>
      </c>
    </row>
    <row r="332" spans="3:6" x14ac:dyDescent="0.3">
      <c r="C332" s="1" t="s">
        <v>374</v>
      </c>
      <c r="D332" s="1" t="s">
        <v>156</v>
      </c>
      <c r="E332" s="1" t="s">
        <v>32</v>
      </c>
      <c r="F332" s="15">
        <v>3000000</v>
      </c>
    </row>
    <row r="333" spans="3:6" x14ac:dyDescent="0.3">
      <c r="C333" s="1" t="s">
        <v>375</v>
      </c>
      <c r="D333" s="1" t="s">
        <v>29</v>
      </c>
      <c r="E333" s="1" t="s">
        <v>79</v>
      </c>
      <c r="F333" s="15">
        <v>3000000</v>
      </c>
    </row>
    <row r="334" spans="3:6" x14ac:dyDescent="0.3">
      <c r="C334" s="1" t="s">
        <v>376</v>
      </c>
      <c r="D334" s="1" t="s">
        <v>12</v>
      </c>
      <c r="E334" s="1" t="s">
        <v>22</v>
      </c>
      <c r="F334" s="15">
        <v>3000000</v>
      </c>
    </row>
    <row r="335" spans="3:6" x14ac:dyDescent="0.3">
      <c r="C335" s="1" t="s">
        <v>377</v>
      </c>
      <c r="D335" s="1" t="s">
        <v>216</v>
      </c>
      <c r="E335" s="1" t="s">
        <v>6</v>
      </c>
      <c r="F335" s="15">
        <v>3000000</v>
      </c>
    </row>
    <row r="336" spans="3:6" x14ac:dyDescent="0.3">
      <c r="C336" s="1" t="s">
        <v>378</v>
      </c>
      <c r="D336" s="1" t="s">
        <v>39</v>
      </c>
      <c r="E336" s="1" t="s">
        <v>51</v>
      </c>
      <c r="F336" s="15">
        <v>2937500</v>
      </c>
    </row>
    <row r="337" spans="3:6" x14ac:dyDescent="0.3">
      <c r="C337" s="1" t="s">
        <v>379</v>
      </c>
      <c r="D337" s="1" t="s">
        <v>14</v>
      </c>
      <c r="E337" s="1" t="s">
        <v>51</v>
      </c>
      <c r="F337" s="15">
        <v>2933333</v>
      </c>
    </row>
    <row r="338" spans="3:6" x14ac:dyDescent="0.3">
      <c r="C338" s="1" t="s">
        <v>380</v>
      </c>
      <c r="D338" s="1" t="s">
        <v>31</v>
      </c>
      <c r="E338" s="1" t="s">
        <v>6</v>
      </c>
      <c r="F338" s="15">
        <v>2925000</v>
      </c>
    </row>
    <row r="339" spans="3:6" x14ac:dyDescent="0.3">
      <c r="C339" s="1" t="s">
        <v>381</v>
      </c>
      <c r="D339" s="1" t="s">
        <v>24</v>
      </c>
      <c r="E339" s="1" t="s">
        <v>79</v>
      </c>
      <c r="F339" s="15">
        <v>2900000</v>
      </c>
    </row>
    <row r="340" spans="3:6" x14ac:dyDescent="0.3">
      <c r="C340" s="1" t="s">
        <v>382</v>
      </c>
      <c r="D340" s="1" t="s">
        <v>61</v>
      </c>
      <c r="E340" s="1" t="s">
        <v>6</v>
      </c>
      <c r="F340" s="15">
        <v>2800000</v>
      </c>
    </row>
    <row r="341" spans="3:6" x14ac:dyDescent="0.3">
      <c r="C341" s="1" t="s">
        <v>383</v>
      </c>
      <c r="D341" s="1" t="s">
        <v>18</v>
      </c>
      <c r="E341" s="1" t="s">
        <v>6</v>
      </c>
      <c r="F341" s="15">
        <v>2800000</v>
      </c>
    </row>
    <row r="342" spans="3:6" x14ac:dyDescent="0.3">
      <c r="C342" s="1" t="s">
        <v>384</v>
      </c>
      <c r="D342" s="1" t="s">
        <v>39</v>
      </c>
      <c r="E342" s="1" t="s">
        <v>43</v>
      </c>
      <c r="F342" s="15">
        <v>2775000</v>
      </c>
    </row>
    <row r="343" spans="3:6" x14ac:dyDescent="0.3">
      <c r="C343" s="1" t="s">
        <v>385</v>
      </c>
      <c r="D343" s="1" t="s">
        <v>27</v>
      </c>
      <c r="E343" s="1" t="s">
        <v>6</v>
      </c>
      <c r="F343" s="15">
        <v>2750000</v>
      </c>
    </row>
    <row r="344" spans="3:6" x14ac:dyDescent="0.3">
      <c r="C344" s="1" t="s">
        <v>386</v>
      </c>
      <c r="D344" s="1" t="s">
        <v>66</v>
      </c>
      <c r="E344" s="1" t="s">
        <v>79</v>
      </c>
      <c r="F344" s="15">
        <v>2750000</v>
      </c>
    </row>
    <row r="345" spans="3:6" x14ac:dyDescent="0.3">
      <c r="C345" s="1" t="s">
        <v>387</v>
      </c>
      <c r="D345" s="1" t="s">
        <v>63</v>
      </c>
      <c r="E345" s="1" t="s">
        <v>79</v>
      </c>
      <c r="F345" s="15">
        <v>2750000</v>
      </c>
    </row>
    <row r="346" spans="3:6" x14ac:dyDescent="0.3">
      <c r="C346" s="1" t="s">
        <v>388</v>
      </c>
      <c r="D346" s="1" t="s">
        <v>156</v>
      </c>
      <c r="E346" s="1" t="s">
        <v>35</v>
      </c>
      <c r="F346" s="15">
        <v>2750000</v>
      </c>
    </row>
    <row r="347" spans="3:6" x14ac:dyDescent="0.3">
      <c r="C347" s="1" t="s">
        <v>389</v>
      </c>
      <c r="D347" s="1" t="s">
        <v>118</v>
      </c>
      <c r="E347" s="1" t="s">
        <v>32</v>
      </c>
      <c r="F347" s="15">
        <v>2675000</v>
      </c>
    </row>
    <row r="348" spans="3:6" x14ac:dyDescent="0.3">
      <c r="C348" s="1" t="s">
        <v>390</v>
      </c>
      <c r="D348" s="1" t="s">
        <v>16</v>
      </c>
      <c r="E348" s="1" t="s">
        <v>79</v>
      </c>
      <c r="F348" s="15">
        <v>2650000</v>
      </c>
    </row>
    <row r="349" spans="3:6" x14ac:dyDescent="0.3">
      <c r="C349" s="1" t="s">
        <v>391</v>
      </c>
      <c r="D349" s="1" t="s">
        <v>124</v>
      </c>
      <c r="E349" s="1" t="s">
        <v>32</v>
      </c>
      <c r="F349" s="15">
        <v>2650000</v>
      </c>
    </row>
    <row r="350" spans="3:6" x14ac:dyDescent="0.3">
      <c r="C350" s="1" t="s">
        <v>392</v>
      </c>
      <c r="D350" s="1" t="s">
        <v>68</v>
      </c>
      <c r="E350" s="1" t="s">
        <v>51</v>
      </c>
      <c r="F350" s="15">
        <v>2625000</v>
      </c>
    </row>
    <row r="351" spans="3:6" x14ac:dyDescent="0.3">
      <c r="C351" s="1" t="s">
        <v>393</v>
      </c>
      <c r="D351" s="1" t="s">
        <v>21</v>
      </c>
      <c r="E351" s="1" t="s">
        <v>6</v>
      </c>
      <c r="F351" s="15">
        <v>2625000</v>
      </c>
    </row>
    <row r="352" spans="3:6" x14ac:dyDescent="0.3">
      <c r="C352" s="1" t="s">
        <v>394</v>
      </c>
      <c r="D352" s="1" t="s">
        <v>31</v>
      </c>
      <c r="E352" s="1" t="s">
        <v>6</v>
      </c>
      <c r="F352" s="15">
        <v>2625000</v>
      </c>
    </row>
    <row r="353" spans="3:6" x14ac:dyDescent="0.3">
      <c r="C353" s="1" t="s">
        <v>395</v>
      </c>
      <c r="D353" s="1" t="s">
        <v>18</v>
      </c>
      <c r="E353" s="1" t="s">
        <v>6</v>
      </c>
      <c r="F353" s="15">
        <v>2600000</v>
      </c>
    </row>
    <row r="354" spans="3:6" x14ac:dyDescent="0.3">
      <c r="C354" s="1" t="s">
        <v>396</v>
      </c>
      <c r="D354" s="1" t="s">
        <v>91</v>
      </c>
      <c r="E354" s="1" t="s">
        <v>6</v>
      </c>
      <c r="F354" s="15">
        <v>2600000</v>
      </c>
    </row>
    <row r="355" spans="3:6" x14ac:dyDescent="0.3">
      <c r="C355" s="1" t="s">
        <v>397</v>
      </c>
      <c r="D355" s="1" t="s">
        <v>12</v>
      </c>
      <c r="E355" s="1" t="s">
        <v>10</v>
      </c>
      <c r="F355" s="15">
        <v>2600000</v>
      </c>
    </row>
    <row r="356" spans="3:6" x14ac:dyDescent="0.3">
      <c r="C356" s="1" t="s">
        <v>398</v>
      </c>
      <c r="D356" s="1" t="s">
        <v>91</v>
      </c>
      <c r="E356" s="1" t="s">
        <v>79</v>
      </c>
      <c r="F356" s="15">
        <v>2500000</v>
      </c>
    </row>
    <row r="357" spans="3:6" x14ac:dyDescent="0.3">
      <c r="C357" s="1" t="s">
        <v>399</v>
      </c>
      <c r="D357" s="1" t="s">
        <v>39</v>
      </c>
      <c r="E357" s="1" t="s">
        <v>79</v>
      </c>
      <c r="F357" s="15">
        <v>2500000</v>
      </c>
    </row>
    <row r="358" spans="3:6" x14ac:dyDescent="0.3">
      <c r="C358" s="1" t="s">
        <v>400</v>
      </c>
      <c r="D358" s="1" t="s">
        <v>18</v>
      </c>
      <c r="E358" s="1" t="s">
        <v>6</v>
      </c>
      <c r="F358" s="15">
        <v>2500000</v>
      </c>
    </row>
    <row r="359" spans="3:6" x14ac:dyDescent="0.3">
      <c r="C359" s="1" t="s">
        <v>401</v>
      </c>
      <c r="D359" s="1" t="s">
        <v>68</v>
      </c>
      <c r="E359" s="1" t="s">
        <v>79</v>
      </c>
      <c r="F359" s="15">
        <v>2500000</v>
      </c>
    </row>
    <row r="360" spans="3:6" x14ac:dyDescent="0.3">
      <c r="C360" s="1" t="s">
        <v>402</v>
      </c>
      <c r="D360" s="1" t="s">
        <v>106</v>
      </c>
      <c r="E360" s="1" t="s">
        <v>51</v>
      </c>
      <c r="F360" s="15">
        <v>2500000</v>
      </c>
    </row>
    <row r="361" spans="3:6" x14ac:dyDescent="0.3">
      <c r="C361" s="1" t="s">
        <v>403</v>
      </c>
      <c r="D361" s="1" t="s">
        <v>9</v>
      </c>
      <c r="E361" s="1" t="s">
        <v>40</v>
      </c>
      <c r="F361" s="15">
        <v>2500000</v>
      </c>
    </row>
    <row r="362" spans="3:6" x14ac:dyDescent="0.3">
      <c r="C362" s="1" t="s">
        <v>404</v>
      </c>
      <c r="D362" s="1" t="s">
        <v>91</v>
      </c>
      <c r="E362" s="1" t="s">
        <v>43</v>
      </c>
      <c r="F362" s="15">
        <v>2500000</v>
      </c>
    </row>
    <row r="363" spans="3:6" x14ac:dyDescent="0.3">
      <c r="C363" s="1" t="s">
        <v>405</v>
      </c>
      <c r="D363" s="1" t="s">
        <v>55</v>
      </c>
      <c r="E363" s="1" t="s">
        <v>79</v>
      </c>
      <c r="F363" s="15">
        <v>2500000</v>
      </c>
    </row>
    <row r="364" spans="3:6" x14ac:dyDescent="0.3">
      <c r="C364" s="1" t="s">
        <v>406</v>
      </c>
      <c r="D364" s="1" t="s">
        <v>63</v>
      </c>
      <c r="E364" s="1" t="s">
        <v>51</v>
      </c>
      <c r="F364" s="15">
        <v>2500000</v>
      </c>
    </row>
    <row r="365" spans="3:6" x14ac:dyDescent="0.3">
      <c r="C365" s="1" t="s">
        <v>407</v>
      </c>
      <c r="D365" s="1" t="s">
        <v>78</v>
      </c>
      <c r="E365" s="1" t="s">
        <v>79</v>
      </c>
      <c r="F365" s="15">
        <v>2500000</v>
      </c>
    </row>
    <row r="366" spans="3:6" x14ac:dyDescent="0.3">
      <c r="C366" s="1" t="s">
        <v>408</v>
      </c>
      <c r="D366" s="1" t="s">
        <v>39</v>
      </c>
      <c r="E366" s="1" t="s">
        <v>111</v>
      </c>
      <c r="F366" s="15">
        <v>2500000</v>
      </c>
    </row>
    <row r="367" spans="3:6" x14ac:dyDescent="0.3">
      <c r="C367" s="1" t="s">
        <v>409</v>
      </c>
      <c r="D367" s="1" t="s">
        <v>31</v>
      </c>
      <c r="E367" s="1" t="s">
        <v>79</v>
      </c>
      <c r="F367" s="15">
        <v>2500000</v>
      </c>
    </row>
    <row r="368" spans="3:6" x14ac:dyDescent="0.3">
      <c r="C368" s="1" t="s">
        <v>410</v>
      </c>
      <c r="D368" s="1" t="s">
        <v>216</v>
      </c>
      <c r="E368" s="1" t="s">
        <v>79</v>
      </c>
      <c r="F368" s="15">
        <v>2500000</v>
      </c>
    </row>
    <row r="369" spans="3:6" x14ac:dyDescent="0.3">
      <c r="C369" s="1" t="s">
        <v>411</v>
      </c>
      <c r="D369" s="1" t="s">
        <v>29</v>
      </c>
      <c r="E369" s="1" t="s">
        <v>79</v>
      </c>
      <c r="F369" s="15">
        <v>2440000</v>
      </c>
    </row>
    <row r="370" spans="3:6" x14ac:dyDescent="0.3">
      <c r="C370" s="1" t="s">
        <v>412</v>
      </c>
      <c r="D370" s="1" t="s">
        <v>106</v>
      </c>
      <c r="E370" s="1" t="s">
        <v>64</v>
      </c>
      <c r="F370" s="15">
        <v>2333333</v>
      </c>
    </row>
    <row r="371" spans="3:6" x14ac:dyDescent="0.3">
      <c r="C371" s="1" t="s">
        <v>413</v>
      </c>
      <c r="D371" s="1" t="s">
        <v>55</v>
      </c>
      <c r="E371" s="1" t="s">
        <v>79</v>
      </c>
      <c r="F371" s="15">
        <v>2250000</v>
      </c>
    </row>
    <row r="372" spans="3:6" x14ac:dyDescent="0.3">
      <c r="C372" s="1" t="s">
        <v>414</v>
      </c>
      <c r="D372" s="1" t="s">
        <v>66</v>
      </c>
      <c r="E372" s="1" t="s">
        <v>79</v>
      </c>
      <c r="F372" s="15">
        <v>2250000</v>
      </c>
    </row>
    <row r="373" spans="3:6" x14ac:dyDescent="0.3">
      <c r="C373" s="1" t="s">
        <v>415</v>
      </c>
      <c r="D373" s="1" t="s">
        <v>12</v>
      </c>
      <c r="E373" s="1" t="s">
        <v>6</v>
      </c>
      <c r="F373" s="15">
        <v>2250000</v>
      </c>
    </row>
    <row r="374" spans="3:6" x14ac:dyDescent="0.3">
      <c r="C374" s="1" t="s">
        <v>416</v>
      </c>
      <c r="D374" s="1" t="s">
        <v>47</v>
      </c>
      <c r="E374" s="1" t="s">
        <v>79</v>
      </c>
      <c r="F374" s="15">
        <v>2250000</v>
      </c>
    </row>
    <row r="375" spans="3:6" x14ac:dyDescent="0.3">
      <c r="C375" s="1" t="s">
        <v>417</v>
      </c>
      <c r="D375" s="1" t="s">
        <v>39</v>
      </c>
      <c r="E375" s="1" t="s">
        <v>79</v>
      </c>
      <c r="F375" s="15">
        <v>2250000</v>
      </c>
    </row>
    <row r="376" spans="3:6" x14ac:dyDescent="0.3">
      <c r="C376" s="1" t="s">
        <v>418</v>
      </c>
      <c r="D376" s="1" t="s">
        <v>37</v>
      </c>
      <c r="E376" s="1" t="s">
        <v>6</v>
      </c>
      <c r="F376" s="15">
        <v>2249000</v>
      </c>
    </row>
    <row r="377" spans="3:6" x14ac:dyDescent="0.3">
      <c r="C377" s="1" t="s">
        <v>419</v>
      </c>
      <c r="D377" s="1" t="s">
        <v>91</v>
      </c>
      <c r="E377" s="1" t="s">
        <v>6</v>
      </c>
      <c r="F377" s="15">
        <v>2225000</v>
      </c>
    </row>
    <row r="378" spans="3:6" x14ac:dyDescent="0.3">
      <c r="C378" s="1" t="s">
        <v>420</v>
      </c>
      <c r="D378" s="1" t="s">
        <v>24</v>
      </c>
      <c r="E378" s="1" t="s">
        <v>22</v>
      </c>
      <c r="F378" s="15">
        <v>2212500</v>
      </c>
    </row>
    <row r="379" spans="3:6" x14ac:dyDescent="0.3">
      <c r="C379" s="1" t="s">
        <v>421</v>
      </c>
      <c r="D379" s="1" t="s">
        <v>63</v>
      </c>
      <c r="E379" s="1" t="s">
        <v>79</v>
      </c>
      <c r="F379" s="15">
        <v>2200000</v>
      </c>
    </row>
    <row r="380" spans="3:6" x14ac:dyDescent="0.3">
      <c r="C380" s="1" t="s">
        <v>422</v>
      </c>
      <c r="D380" s="1" t="s">
        <v>61</v>
      </c>
      <c r="E380" s="1" t="s">
        <v>79</v>
      </c>
      <c r="F380" s="15">
        <v>2150000</v>
      </c>
    </row>
    <row r="381" spans="3:6" x14ac:dyDescent="0.3">
      <c r="C381" s="1" t="s">
        <v>423</v>
      </c>
      <c r="D381" s="1" t="s">
        <v>102</v>
      </c>
      <c r="E381" s="1" t="s">
        <v>79</v>
      </c>
      <c r="F381" s="15">
        <v>2150000</v>
      </c>
    </row>
    <row r="382" spans="3:6" x14ac:dyDescent="0.3">
      <c r="C382" s="1" t="s">
        <v>424</v>
      </c>
      <c r="D382" s="1" t="s">
        <v>39</v>
      </c>
      <c r="E382" s="1" t="s">
        <v>6</v>
      </c>
      <c r="F382" s="15">
        <v>2125000</v>
      </c>
    </row>
    <row r="383" spans="3:6" x14ac:dyDescent="0.3">
      <c r="C383" s="1" t="s">
        <v>425</v>
      </c>
      <c r="D383" s="1" t="s">
        <v>16</v>
      </c>
      <c r="E383" s="1" t="s">
        <v>79</v>
      </c>
      <c r="F383" s="15">
        <v>2100000</v>
      </c>
    </row>
    <row r="384" spans="3:6" x14ac:dyDescent="0.3">
      <c r="C384" s="1" t="s">
        <v>426</v>
      </c>
      <c r="D384" s="1" t="s">
        <v>55</v>
      </c>
      <c r="E384" s="1" t="s">
        <v>51</v>
      </c>
      <c r="F384" s="15">
        <v>2060000</v>
      </c>
    </row>
    <row r="385" spans="3:6" x14ac:dyDescent="0.3">
      <c r="C385" s="1" t="s">
        <v>427</v>
      </c>
      <c r="D385" s="1" t="s">
        <v>102</v>
      </c>
      <c r="E385" s="1" t="s">
        <v>22</v>
      </c>
      <c r="F385" s="15">
        <v>2050000</v>
      </c>
    </row>
    <row r="386" spans="3:6" x14ac:dyDescent="0.3">
      <c r="C386" s="1" t="s">
        <v>428</v>
      </c>
      <c r="D386" s="1" t="s">
        <v>156</v>
      </c>
      <c r="E386" s="1" t="s">
        <v>6</v>
      </c>
      <c r="F386" s="15">
        <v>2050000</v>
      </c>
    </row>
    <row r="387" spans="3:6" x14ac:dyDescent="0.3">
      <c r="C387" s="1" t="s">
        <v>429</v>
      </c>
      <c r="D387" s="1" t="s">
        <v>47</v>
      </c>
      <c r="E387" s="1" t="s">
        <v>51</v>
      </c>
      <c r="F387" s="15">
        <v>2000000</v>
      </c>
    </row>
    <row r="388" spans="3:6" x14ac:dyDescent="0.3">
      <c r="C388" s="1" t="s">
        <v>430</v>
      </c>
      <c r="D388" s="1" t="s">
        <v>29</v>
      </c>
      <c r="E388" s="1" t="s">
        <v>43</v>
      </c>
      <c r="F388" s="15">
        <v>2000000</v>
      </c>
    </row>
    <row r="389" spans="3:6" x14ac:dyDescent="0.3">
      <c r="C389" s="1" t="s">
        <v>431</v>
      </c>
      <c r="D389" s="1" t="s">
        <v>78</v>
      </c>
      <c r="E389" s="1" t="s">
        <v>40</v>
      </c>
      <c r="F389" s="15">
        <v>2000000</v>
      </c>
    </row>
    <row r="390" spans="3:6" x14ac:dyDescent="0.3">
      <c r="C390" s="1" t="s">
        <v>432</v>
      </c>
      <c r="D390" s="1" t="s">
        <v>74</v>
      </c>
      <c r="E390" s="1" t="s">
        <v>111</v>
      </c>
      <c r="F390" s="15">
        <v>2000000</v>
      </c>
    </row>
    <row r="391" spans="3:6" x14ac:dyDescent="0.3">
      <c r="C391" s="1" t="s">
        <v>433</v>
      </c>
      <c r="D391" s="1" t="s">
        <v>74</v>
      </c>
      <c r="E391" s="1" t="s">
        <v>6</v>
      </c>
      <c r="F391" s="15">
        <v>2000000</v>
      </c>
    </row>
    <row r="392" spans="3:6" x14ac:dyDescent="0.3">
      <c r="C392" s="1" t="s">
        <v>434</v>
      </c>
      <c r="D392" s="1" t="s">
        <v>66</v>
      </c>
      <c r="E392" s="1" t="s">
        <v>6</v>
      </c>
      <c r="F392" s="15">
        <v>2000000</v>
      </c>
    </row>
    <row r="393" spans="3:6" x14ac:dyDescent="0.3">
      <c r="C393" s="1" t="s">
        <v>435</v>
      </c>
      <c r="D393" s="1" t="s">
        <v>66</v>
      </c>
      <c r="E393" s="1" t="s">
        <v>6</v>
      </c>
      <c r="F393" s="15">
        <v>2000000</v>
      </c>
    </row>
    <row r="394" spans="3:6" x14ac:dyDescent="0.3">
      <c r="C394" s="1" t="s">
        <v>436</v>
      </c>
      <c r="D394" s="1" t="s">
        <v>39</v>
      </c>
      <c r="E394" s="1" t="s">
        <v>79</v>
      </c>
      <c r="F394" s="15">
        <v>2000000</v>
      </c>
    </row>
    <row r="395" spans="3:6" x14ac:dyDescent="0.3">
      <c r="C395" s="1" t="s">
        <v>437</v>
      </c>
      <c r="D395" s="1" t="s">
        <v>102</v>
      </c>
      <c r="E395" s="1" t="s">
        <v>64</v>
      </c>
      <c r="F395" s="15">
        <v>2000000</v>
      </c>
    </row>
    <row r="396" spans="3:6" x14ac:dyDescent="0.3">
      <c r="C396" s="1" t="s">
        <v>438</v>
      </c>
      <c r="D396" s="1" t="s">
        <v>18</v>
      </c>
      <c r="E396" s="1" t="s">
        <v>43</v>
      </c>
      <c r="F396" s="15">
        <v>2000000</v>
      </c>
    </row>
    <row r="397" spans="3:6" x14ac:dyDescent="0.3">
      <c r="C397" s="1" t="s">
        <v>439</v>
      </c>
      <c r="D397" s="1" t="s">
        <v>39</v>
      </c>
      <c r="E397" s="1" t="s">
        <v>64</v>
      </c>
      <c r="F397" s="15">
        <v>2000000</v>
      </c>
    </row>
    <row r="398" spans="3:6" x14ac:dyDescent="0.3">
      <c r="C398" s="1" t="s">
        <v>440</v>
      </c>
      <c r="D398" s="1" t="s">
        <v>24</v>
      </c>
      <c r="E398" s="1" t="s">
        <v>111</v>
      </c>
      <c r="F398" s="15">
        <v>2000000</v>
      </c>
    </row>
    <row r="399" spans="3:6" x14ac:dyDescent="0.3">
      <c r="C399" s="1" t="s">
        <v>441</v>
      </c>
      <c r="D399" s="1" t="s">
        <v>66</v>
      </c>
      <c r="E399" s="1" t="s">
        <v>43</v>
      </c>
      <c r="F399" s="15">
        <v>2000000</v>
      </c>
    </row>
    <row r="400" spans="3:6" x14ac:dyDescent="0.3">
      <c r="C400" s="1" t="s">
        <v>442</v>
      </c>
      <c r="D400" s="1" t="s">
        <v>66</v>
      </c>
      <c r="E400" s="1" t="s">
        <v>64</v>
      </c>
      <c r="F400" s="15">
        <v>2000000</v>
      </c>
    </row>
    <row r="401" spans="3:6" x14ac:dyDescent="0.3">
      <c r="C401" s="1" t="s">
        <v>443</v>
      </c>
      <c r="D401" s="1" t="s">
        <v>39</v>
      </c>
      <c r="E401" s="1" t="s">
        <v>79</v>
      </c>
      <c r="F401" s="15">
        <v>1950000</v>
      </c>
    </row>
    <row r="402" spans="3:6" x14ac:dyDescent="0.3">
      <c r="C402" s="1" t="s">
        <v>444</v>
      </c>
      <c r="D402" s="1" t="s">
        <v>27</v>
      </c>
      <c r="E402" s="1" t="s">
        <v>64</v>
      </c>
      <c r="F402" s="15">
        <v>1950000</v>
      </c>
    </row>
    <row r="403" spans="3:6" x14ac:dyDescent="0.3">
      <c r="C403" s="1" t="s">
        <v>445</v>
      </c>
      <c r="D403" s="1" t="s">
        <v>12</v>
      </c>
      <c r="E403" s="1" t="s">
        <v>79</v>
      </c>
      <c r="F403" s="15">
        <v>1945000</v>
      </c>
    </row>
    <row r="404" spans="3:6" x14ac:dyDescent="0.3">
      <c r="C404" s="1" t="s">
        <v>446</v>
      </c>
      <c r="D404" s="1" t="s">
        <v>216</v>
      </c>
      <c r="E404" s="1" t="s">
        <v>43</v>
      </c>
      <c r="F404" s="15">
        <v>1928571</v>
      </c>
    </row>
    <row r="405" spans="3:6" x14ac:dyDescent="0.3">
      <c r="C405" s="1" t="s">
        <v>447</v>
      </c>
      <c r="D405" s="1" t="s">
        <v>37</v>
      </c>
      <c r="E405" s="1" t="s">
        <v>79</v>
      </c>
      <c r="F405" s="15">
        <v>1925000</v>
      </c>
    </row>
    <row r="406" spans="3:6" x14ac:dyDescent="0.3">
      <c r="C406" s="1" t="s">
        <v>448</v>
      </c>
      <c r="D406" s="1" t="s">
        <v>216</v>
      </c>
      <c r="E406" s="1" t="s">
        <v>43</v>
      </c>
      <c r="F406" s="15">
        <v>1925000</v>
      </c>
    </row>
    <row r="407" spans="3:6" x14ac:dyDescent="0.3">
      <c r="C407" s="1" t="s">
        <v>449</v>
      </c>
      <c r="D407" s="1" t="s">
        <v>9</v>
      </c>
      <c r="E407" s="1" t="s">
        <v>6</v>
      </c>
      <c r="F407" s="15">
        <v>1901000</v>
      </c>
    </row>
    <row r="408" spans="3:6" x14ac:dyDescent="0.3">
      <c r="C408" s="1" t="s">
        <v>450</v>
      </c>
      <c r="D408" s="1" t="s">
        <v>12</v>
      </c>
      <c r="E408" s="1" t="s">
        <v>79</v>
      </c>
      <c r="F408" s="15">
        <v>1830000</v>
      </c>
    </row>
    <row r="409" spans="3:6" x14ac:dyDescent="0.3">
      <c r="C409" s="1" t="s">
        <v>451</v>
      </c>
      <c r="D409" s="1" t="s">
        <v>37</v>
      </c>
      <c r="E409" s="1" t="s">
        <v>79</v>
      </c>
      <c r="F409" s="15">
        <v>1800000</v>
      </c>
    </row>
    <row r="410" spans="3:6" x14ac:dyDescent="0.3">
      <c r="C410" s="1" t="s">
        <v>452</v>
      </c>
      <c r="D410" s="1" t="s">
        <v>34</v>
      </c>
      <c r="E410" s="1" t="s">
        <v>51</v>
      </c>
      <c r="F410" s="15">
        <v>1800000</v>
      </c>
    </row>
    <row r="411" spans="3:6" x14ac:dyDescent="0.3">
      <c r="C411" s="1" t="s">
        <v>453</v>
      </c>
      <c r="D411" s="1" t="s">
        <v>124</v>
      </c>
      <c r="E411" s="1" t="s">
        <v>79</v>
      </c>
      <c r="F411" s="15">
        <v>1800000</v>
      </c>
    </row>
    <row r="412" spans="3:6" x14ac:dyDescent="0.3">
      <c r="C412" s="1" t="s">
        <v>454</v>
      </c>
      <c r="D412" s="1" t="s">
        <v>156</v>
      </c>
      <c r="E412" s="1" t="s">
        <v>79</v>
      </c>
      <c r="F412" s="15">
        <v>1800000</v>
      </c>
    </row>
    <row r="413" spans="3:6" x14ac:dyDescent="0.3">
      <c r="C413" s="1" t="s">
        <v>455</v>
      </c>
      <c r="D413" s="1" t="s">
        <v>14</v>
      </c>
      <c r="E413" s="1" t="s">
        <v>79</v>
      </c>
      <c r="F413" s="15">
        <v>1750000</v>
      </c>
    </row>
    <row r="414" spans="3:6" x14ac:dyDescent="0.3">
      <c r="C414" s="1" t="s">
        <v>456</v>
      </c>
      <c r="D414" s="1" t="s">
        <v>9</v>
      </c>
      <c r="E414" s="1" t="s">
        <v>79</v>
      </c>
      <c r="F414" s="15">
        <v>1750000</v>
      </c>
    </row>
    <row r="415" spans="3:6" x14ac:dyDescent="0.3">
      <c r="C415" s="1" t="s">
        <v>457</v>
      </c>
      <c r="D415" s="1" t="s">
        <v>124</v>
      </c>
      <c r="E415" s="1" t="s">
        <v>10</v>
      </c>
      <c r="F415" s="15">
        <v>1750000</v>
      </c>
    </row>
    <row r="416" spans="3:6" x14ac:dyDescent="0.3">
      <c r="C416" s="1" t="s">
        <v>458</v>
      </c>
      <c r="D416" s="1" t="s">
        <v>27</v>
      </c>
      <c r="E416" s="1" t="s">
        <v>111</v>
      </c>
      <c r="F416" s="15">
        <v>1750000</v>
      </c>
    </row>
    <row r="417" spans="3:6" x14ac:dyDescent="0.3">
      <c r="C417" s="1" t="s">
        <v>459</v>
      </c>
      <c r="D417" s="1" t="s">
        <v>91</v>
      </c>
      <c r="E417" s="1" t="s">
        <v>51</v>
      </c>
      <c r="F417" s="15">
        <v>1750000</v>
      </c>
    </row>
    <row r="418" spans="3:6" x14ac:dyDescent="0.3">
      <c r="C418" s="1" t="s">
        <v>460</v>
      </c>
      <c r="D418" s="1" t="s">
        <v>78</v>
      </c>
      <c r="E418" s="1" t="s">
        <v>64</v>
      </c>
      <c r="F418" s="15">
        <v>1750000</v>
      </c>
    </row>
    <row r="419" spans="3:6" x14ac:dyDescent="0.3">
      <c r="C419" s="1" t="s">
        <v>461</v>
      </c>
      <c r="D419" s="1" t="s">
        <v>49</v>
      </c>
      <c r="E419" s="1" t="s">
        <v>35</v>
      </c>
      <c r="F419" s="15">
        <v>1750000</v>
      </c>
    </row>
    <row r="420" spans="3:6" x14ac:dyDescent="0.3">
      <c r="C420" s="1" t="s">
        <v>462</v>
      </c>
      <c r="D420" s="1" t="s">
        <v>49</v>
      </c>
      <c r="E420" s="1" t="s">
        <v>32</v>
      </c>
      <c r="F420" s="15">
        <v>1750000</v>
      </c>
    </row>
    <row r="421" spans="3:6" x14ac:dyDescent="0.3">
      <c r="C421" s="1" t="s">
        <v>463</v>
      </c>
      <c r="D421" s="1" t="s">
        <v>5</v>
      </c>
      <c r="E421" s="1" t="s">
        <v>79</v>
      </c>
      <c r="F421" s="15">
        <v>1725000</v>
      </c>
    </row>
    <row r="422" spans="3:6" x14ac:dyDescent="0.3">
      <c r="C422" s="1" t="s">
        <v>464</v>
      </c>
      <c r="D422" s="1" t="s">
        <v>66</v>
      </c>
      <c r="E422" s="1" t="s">
        <v>79</v>
      </c>
      <c r="F422" s="15">
        <v>1687500</v>
      </c>
    </row>
    <row r="423" spans="3:6" x14ac:dyDescent="0.3">
      <c r="C423" s="1" t="s">
        <v>465</v>
      </c>
      <c r="D423" s="1" t="s">
        <v>31</v>
      </c>
      <c r="E423" s="1" t="s">
        <v>79</v>
      </c>
      <c r="F423" s="15">
        <v>1687500</v>
      </c>
    </row>
    <row r="424" spans="3:6" x14ac:dyDescent="0.3">
      <c r="C424" s="1" t="s">
        <v>466</v>
      </c>
      <c r="D424" s="1" t="s">
        <v>9</v>
      </c>
      <c r="E424" s="1" t="s">
        <v>79</v>
      </c>
      <c r="F424" s="15">
        <v>1675000</v>
      </c>
    </row>
    <row r="425" spans="3:6" x14ac:dyDescent="0.3">
      <c r="C425" s="1" t="s">
        <v>467</v>
      </c>
      <c r="D425" s="1" t="s">
        <v>37</v>
      </c>
      <c r="E425" s="1" t="s">
        <v>43</v>
      </c>
      <c r="F425" s="15">
        <v>1666666</v>
      </c>
    </row>
    <row r="426" spans="3:6" x14ac:dyDescent="0.3">
      <c r="C426" s="1" t="s">
        <v>468</v>
      </c>
      <c r="D426" s="1" t="s">
        <v>14</v>
      </c>
      <c r="E426" s="1" t="s">
        <v>79</v>
      </c>
      <c r="F426" s="15">
        <v>1600000</v>
      </c>
    </row>
    <row r="427" spans="3:6" x14ac:dyDescent="0.3">
      <c r="C427" s="1" t="s">
        <v>469</v>
      </c>
      <c r="D427" s="1" t="s">
        <v>118</v>
      </c>
      <c r="E427" s="1" t="s">
        <v>6</v>
      </c>
      <c r="F427" s="15">
        <v>1600000</v>
      </c>
    </row>
    <row r="428" spans="3:6" x14ac:dyDescent="0.3">
      <c r="C428" s="1" t="s">
        <v>470</v>
      </c>
      <c r="D428" s="1" t="s">
        <v>21</v>
      </c>
      <c r="E428" s="1" t="s">
        <v>79</v>
      </c>
      <c r="F428" s="15">
        <v>1600000</v>
      </c>
    </row>
    <row r="429" spans="3:6" x14ac:dyDescent="0.3">
      <c r="C429" s="1" t="s">
        <v>471</v>
      </c>
      <c r="D429" s="1" t="s">
        <v>106</v>
      </c>
      <c r="E429" s="1" t="s">
        <v>22</v>
      </c>
      <c r="F429" s="15">
        <v>1550000</v>
      </c>
    </row>
    <row r="430" spans="3:6" x14ac:dyDescent="0.3">
      <c r="C430" s="1" t="s">
        <v>472</v>
      </c>
      <c r="D430" s="1" t="s">
        <v>124</v>
      </c>
      <c r="E430" s="1" t="s">
        <v>79</v>
      </c>
      <c r="F430" s="15">
        <v>1525000</v>
      </c>
    </row>
    <row r="431" spans="3:6" x14ac:dyDescent="0.3">
      <c r="C431" s="1" t="s">
        <v>473</v>
      </c>
      <c r="D431" s="1" t="s">
        <v>24</v>
      </c>
      <c r="E431" s="1" t="s">
        <v>79</v>
      </c>
      <c r="F431" s="15">
        <v>1525000</v>
      </c>
    </row>
    <row r="432" spans="3:6" x14ac:dyDescent="0.3">
      <c r="C432" s="1" t="s">
        <v>474</v>
      </c>
      <c r="D432" s="1" t="s">
        <v>216</v>
      </c>
      <c r="E432" s="1" t="s">
        <v>79</v>
      </c>
      <c r="F432" s="15">
        <v>1525000</v>
      </c>
    </row>
    <row r="433" spans="3:6" x14ac:dyDescent="0.3">
      <c r="C433" s="1" t="s">
        <v>475</v>
      </c>
      <c r="D433" s="1" t="s">
        <v>29</v>
      </c>
      <c r="E433" s="1" t="s">
        <v>79</v>
      </c>
      <c r="F433" s="15">
        <v>1500000</v>
      </c>
    </row>
    <row r="434" spans="3:6" x14ac:dyDescent="0.3">
      <c r="C434" s="1" t="s">
        <v>476</v>
      </c>
      <c r="D434" s="1" t="s">
        <v>27</v>
      </c>
      <c r="E434" s="1" t="s">
        <v>79</v>
      </c>
      <c r="F434" s="15">
        <v>1500000</v>
      </c>
    </row>
    <row r="435" spans="3:6" x14ac:dyDescent="0.3">
      <c r="C435" s="1" t="s">
        <v>477</v>
      </c>
      <c r="D435" s="1" t="s">
        <v>49</v>
      </c>
      <c r="E435" s="1" t="s">
        <v>6</v>
      </c>
      <c r="F435" s="15">
        <v>1500000</v>
      </c>
    </row>
    <row r="436" spans="3:6" x14ac:dyDescent="0.3">
      <c r="C436" s="1" t="s">
        <v>478</v>
      </c>
      <c r="D436" s="1" t="s">
        <v>102</v>
      </c>
      <c r="E436" s="1" t="s">
        <v>6</v>
      </c>
      <c r="F436" s="15">
        <v>1500000</v>
      </c>
    </row>
    <row r="437" spans="3:6" x14ac:dyDescent="0.3">
      <c r="C437" s="1" t="s">
        <v>479</v>
      </c>
      <c r="D437" s="1" t="s">
        <v>74</v>
      </c>
      <c r="E437" s="1" t="s">
        <v>51</v>
      </c>
      <c r="F437" s="15">
        <v>1500000</v>
      </c>
    </row>
    <row r="438" spans="3:6" x14ac:dyDescent="0.3">
      <c r="C438" s="1" t="s">
        <v>480</v>
      </c>
      <c r="D438" s="1" t="s">
        <v>216</v>
      </c>
      <c r="E438" s="1" t="s">
        <v>79</v>
      </c>
      <c r="F438" s="15">
        <v>1500000</v>
      </c>
    </row>
    <row r="439" spans="3:6" x14ac:dyDescent="0.3">
      <c r="C439" s="1" t="s">
        <v>481</v>
      </c>
      <c r="D439" s="1" t="s">
        <v>55</v>
      </c>
      <c r="E439" s="1" t="s">
        <v>6</v>
      </c>
      <c r="F439" s="15">
        <v>1450000</v>
      </c>
    </row>
    <row r="440" spans="3:6" x14ac:dyDescent="0.3">
      <c r="C440" s="1" t="s">
        <v>482</v>
      </c>
      <c r="D440" s="1" t="s">
        <v>12</v>
      </c>
      <c r="E440" s="1" t="s">
        <v>79</v>
      </c>
      <c r="F440" s="15">
        <v>1450000</v>
      </c>
    </row>
    <row r="441" spans="3:6" x14ac:dyDescent="0.3">
      <c r="C441" s="1" t="s">
        <v>483</v>
      </c>
      <c r="D441" s="1" t="s">
        <v>106</v>
      </c>
      <c r="E441" s="1" t="s">
        <v>111</v>
      </c>
      <c r="F441" s="15">
        <v>1400000</v>
      </c>
    </row>
    <row r="442" spans="3:6" x14ac:dyDescent="0.3">
      <c r="C442" s="1" t="s">
        <v>484</v>
      </c>
      <c r="D442" s="1" t="s">
        <v>102</v>
      </c>
      <c r="E442" s="1" t="s">
        <v>79</v>
      </c>
      <c r="F442" s="15">
        <v>1400000</v>
      </c>
    </row>
    <row r="443" spans="3:6" x14ac:dyDescent="0.3">
      <c r="C443" s="1" t="s">
        <v>485</v>
      </c>
      <c r="D443" s="1" t="s">
        <v>9</v>
      </c>
      <c r="E443" s="1" t="s">
        <v>79</v>
      </c>
      <c r="F443" s="15">
        <v>1400000</v>
      </c>
    </row>
    <row r="444" spans="3:6" x14ac:dyDescent="0.3">
      <c r="C444" s="1" t="s">
        <v>486</v>
      </c>
      <c r="D444" s="1" t="s">
        <v>66</v>
      </c>
      <c r="E444" s="1" t="s">
        <v>10</v>
      </c>
      <c r="F444" s="15">
        <v>1400000</v>
      </c>
    </row>
    <row r="445" spans="3:6" x14ac:dyDescent="0.3">
      <c r="C445" s="1" t="s">
        <v>487</v>
      </c>
      <c r="D445" s="1" t="s">
        <v>55</v>
      </c>
      <c r="E445" s="1" t="s">
        <v>79</v>
      </c>
      <c r="F445" s="15">
        <v>1400000</v>
      </c>
    </row>
    <row r="446" spans="3:6" x14ac:dyDescent="0.3">
      <c r="C446" s="1" t="s">
        <v>488</v>
      </c>
      <c r="D446" s="1" t="s">
        <v>47</v>
      </c>
      <c r="E446" s="1" t="s">
        <v>111</v>
      </c>
      <c r="F446" s="15">
        <v>1395000</v>
      </c>
    </row>
    <row r="447" spans="3:6" x14ac:dyDescent="0.3">
      <c r="C447" s="1" t="s">
        <v>489</v>
      </c>
      <c r="D447" s="1" t="s">
        <v>34</v>
      </c>
      <c r="E447" s="1" t="s">
        <v>79</v>
      </c>
      <c r="F447" s="15">
        <v>1387500</v>
      </c>
    </row>
    <row r="448" spans="3:6" x14ac:dyDescent="0.3">
      <c r="C448" s="1" t="s">
        <v>490</v>
      </c>
      <c r="D448" s="1" t="s">
        <v>14</v>
      </c>
      <c r="E448" s="1" t="s">
        <v>6</v>
      </c>
      <c r="F448" s="15">
        <v>1375000</v>
      </c>
    </row>
    <row r="449" spans="3:6" x14ac:dyDescent="0.3">
      <c r="C449" s="1" t="s">
        <v>491</v>
      </c>
      <c r="D449" s="1" t="s">
        <v>68</v>
      </c>
      <c r="E449" s="1" t="s">
        <v>79</v>
      </c>
      <c r="F449" s="15">
        <v>1350000</v>
      </c>
    </row>
    <row r="450" spans="3:6" x14ac:dyDescent="0.3">
      <c r="C450" s="1" t="s">
        <v>492</v>
      </c>
      <c r="D450" s="1" t="s">
        <v>37</v>
      </c>
      <c r="E450" s="1" t="s">
        <v>35</v>
      </c>
      <c r="F450" s="15">
        <v>1350000</v>
      </c>
    </row>
    <row r="451" spans="3:6" x14ac:dyDescent="0.3">
      <c r="C451" s="1" t="s">
        <v>493</v>
      </c>
      <c r="D451" s="1" t="s">
        <v>9</v>
      </c>
      <c r="E451" s="1" t="s">
        <v>43</v>
      </c>
      <c r="F451" s="15">
        <v>1350000</v>
      </c>
    </row>
    <row r="452" spans="3:6" x14ac:dyDescent="0.3">
      <c r="C452" s="1" t="s">
        <v>494</v>
      </c>
      <c r="D452" s="1" t="s">
        <v>14</v>
      </c>
      <c r="E452" s="1" t="s">
        <v>79</v>
      </c>
      <c r="F452" s="15">
        <v>1312500</v>
      </c>
    </row>
    <row r="453" spans="3:6" x14ac:dyDescent="0.3">
      <c r="C453" s="1" t="s">
        <v>495</v>
      </c>
      <c r="D453" s="1" t="s">
        <v>18</v>
      </c>
      <c r="E453" s="1" t="s">
        <v>79</v>
      </c>
      <c r="F453" s="15">
        <v>1300000</v>
      </c>
    </row>
    <row r="454" spans="3:6" x14ac:dyDescent="0.3">
      <c r="C454" s="1" t="s">
        <v>496</v>
      </c>
      <c r="D454" s="1" t="s">
        <v>31</v>
      </c>
      <c r="E454" s="1" t="s">
        <v>79</v>
      </c>
      <c r="F454" s="15">
        <v>1300000</v>
      </c>
    </row>
    <row r="455" spans="3:6" x14ac:dyDescent="0.3">
      <c r="C455" s="1" t="s">
        <v>497</v>
      </c>
      <c r="D455" s="1" t="s">
        <v>216</v>
      </c>
      <c r="E455" s="1" t="s">
        <v>32</v>
      </c>
      <c r="F455" s="15">
        <v>1300000</v>
      </c>
    </row>
    <row r="456" spans="3:6" x14ac:dyDescent="0.3">
      <c r="C456" s="1" t="s">
        <v>498</v>
      </c>
      <c r="D456" s="1" t="s">
        <v>124</v>
      </c>
      <c r="E456" s="1" t="s">
        <v>111</v>
      </c>
      <c r="F456" s="15">
        <v>1300000</v>
      </c>
    </row>
    <row r="457" spans="3:6" x14ac:dyDescent="0.3">
      <c r="C457" s="1" t="s">
        <v>499</v>
      </c>
      <c r="D457" s="1" t="s">
        <v>27</v>
      </c>
      <c r="E457" s="1" t="s">
        <v>79</v>
      </c>
      <c r="F457" s="15">
        <v>1300000</v>
      </c>
    </row>
    <row r="458" spans="3:6" x14ac:dyDescent="0.3">
      <c r="C458" s="1" t="s">
        <v>500</v>
      </c>
      <c r="D458" s="1" t="s">
        <v>5</v>
      </c>
      <c r="E458" s="1" t="s">
        <v>79</v>
      </c>
      <c r="F458" s="15">
        <v>1300000</v>
      </c>
    </row>
    <row r="459" spans="3:6" x14ac:dyDescent="0.3">
      <c r="C459" s="1" t="s">
        <v>501</v>
      </c>
      <c r="D459" s="1" t="s">
        <v>18</v>
      </c>
      <c r="E459" s="1" t="s">
        <v>6</v>
      </c>
      <c r="F459" s="15">
        <v>1275000</v>
      </c>
    </row>
    <row r="460" spans="3:6" x14ac:dyDescent="0.3">
      <c r="C460" s="1" t="s">
        <v>502</v>
      </c>
      <c r="D460" s="1" t="s">
        <v>118</v>
      </c>
      <c r="E460" s="1" t="s">
        <v>79</v>
      </c>
      <c r="F460" s="15">
        <v>1275000</v>
      </c>
    </row>
    <row r="461" spans="3:6" x14ac:dyDescent="0.3">
      <c r="C461" s="1" t="s">
        <v>503</v>
      </c>
      <c r="D461" s="1" t="s">
        <v>91</v>
      </c>
      <c r="E461" s="1" t="s">
        <v>79</v>
      </c>
      <c r="F461" s="15">
        <v>1275000</v>
      </c>
    </row>
    <row r="462" spans="3:6" x14ac:dyDescent="0.3">
      <c r="C462" s="1" t="s">
        <v>504</v>
      </c>
      <c r="D462" s="1" t="s">
        <v>74</v>
      </c>
      <c r="E462" s="1" t="s">
        <v>79</v>
      </c>
      <c r="F462" s="15">
        <v>1260000</v>
      </c>
    </row>
    <row r="463" spans="3:6" x14ac:dyDescent="0.3">
      <c r="C463" s="1" t="s">
        <v>505</v>
      </c>
      <c r="D463" s="1" t="s">
        <v>5</v>
      </c>
      <c r="E463" s="1" t="s">
        <v>79</v>
      </c>
      <c r="F463" s="15">
        <v>1250000</v>
      </c>
    </row>
    <row r="464" spans="3:6" x14ac:dyDescent="0.3">
      <c r="C464" s="1" t="s">
        <v>506</v>
      </c>
      <c r="D464" s="1" t="s">
        <v>102</v>
      </c>
      <c r="E464" s="1" t="s">
        <v>51</v>
      </c>
      <c r="F464" s="15">
        <v>1250000</v>
      </c>
    </row>
    <row r="465" spans="3:6" x14ac:dyDescent="0.3">
      <c r="C465" s="1" t="s">
        <v>507</v>
      </c>
      <c r="D465" s="1" t="s">
        <v>47</v>
      </c>
      <c r="E465" s="1" t="s">
        <v>22</v>
      </c>
      <c r="F465" s="15">
        <v>1250000</v>
      </c>
    </row>
    <row r="466" spans="3:6" x14ac:dyDescent="0.3">
      <c r="C466" s="1" t="s">
        <v>508</v>
      </c>
      <c r="D466" s="1" t="s">
        <v>63</v>
      </c>
      <c r="E466" s="1" t="s">
        <v>40</v>
      </c>
      <c r="F466" s="15">
        <v>1250000</v>
      </c>
    </row>
    <row r="467" spans="3:6" x14ac:dyDescent="0.3">
      <c r="C467" s="1" t="s">
        <v>509</v>
      </c>
      <c r="D467" s="1" t="s">
        <v>47</v>
      </c>
      <c r="E467" s="1" t="s">
        <v>79</v>
      </c>
      <c r="F467" s="15">
        <v>1250000</v>
      </c>
    </row>
    <row r="468" spans="3:6" x14ac:dyDescent="0.3">
      <c r="C468" s="1" t="s">
        <v>510</v>
      </c>
      <c r="D468" s="1" t="s">
        <v>34</v>
      </c>
      <c r="E468" s="1" t="s">
        <v>40</v>
      </c>
      <c r="F468" s="15">
        <v>1200000</v>
      </c>
    </row>
    <row r="469" spans="3:6" x14ac:dyDescent="0.3">
      <c r="C469" s="1" t="s">
        <v>511</v>
      </c>
      <c r="D469" s="1" t="s">
        <v>49</v>
      </c>
      <c r="E469" s="1" t="s">
        <v>51</v>
      </c>
      <c r="F469" s="15">
        <v>1200000</v>
      </c>
    </row>
    <row r="470" spans="3:6" x14ac:dyDescent="0.3">
      <c r="C470" s="1" t="s">
        <v>512</v>
      </c>
      <c r="D470" s="1" t="s">
        <v>63</v>
      </c>
      <c r="E470" s="1" t="s">
        <v>43</v>
      </c>
      <c r="F470" s="15">
        <v>1187500</v>
      </c>
    </row>
    <row r="471" spans="3:6" x14ac:dyDescent="0.3">
      <c r="C471" s="1" t="s">
        <v>513</v>
      </c>
      <c r="D471" s="1" t="s">
        <v>118</v>
      </c>
      <c r="E471" s="1" t="s">
        <v>43</v>
      </c>
      <c r="F471" s="15">
        <v>1166666</v>
      </c>
    </row>
    <row r="472" spans="3:6" x14ac:dyDescent="0.3">
      <c r="C472" s="1" t="s">
        <v>514</v>
      </c>
      <c r="D472" s="1" t="s">
        <v>55</v>
      </c>
      <c r="E472" s="1" t="s">
        <v>22</v>
      </c>
      <c r="F472" s="15">
        <v>1165000</v>
      </c>
    </row>
    <row r="473" spans="3:6" x14ac:dyDescent="0.3">
      <c r="C473" s="1" t="s">
        <v>515</v>
      </c>
      <c r="D473" s="1" t="s">
        <v>14</v>
      </c>
      <c r="E473" s="1" t="s">
        <v>79</v>
      </c>
      <c r="F473" s="15">
        <v>1150000</v>
      </c>
    </row>
    <row r="474" spans="3:6" x14ac:dyDescent="0.3">
      <c r="C474" s="1" t="s">
        <v>516</v>
      </c>
      <c r="D474" s="1" t="s">
        <v>156</v>
      </c>
      <c r="E474" s="1" t="s">
        <v>64</v>
      </c>
      <c r="F474" s="15">
        <v>1150000</v>
      </c>
    </row>
    <row r="475" spans="3:6" x14ac:dyDescent="0.3">
      <c r="C475" s="1" t="s">
        <v>517</v>
      </c>
      <c r="D475" s="1" t="s">
        <v>68</v>
      </c>
      <c r="E475" s="1" t="s">
        <v>51</v>
      </c>
      <c r="F475" s="15">
        <v>1137500</v>
      </c>
    </row>
    <row r="476" spans="3:6" x14ac:dyDescent="0.3">
      <c r="C476" s="1" t="s">
        <v>518</v>
      </c>
      <c r="D476" s="1" t="s">
        <v>74</v>
      </c>
      <c r="E476" s="1" t="s">
        <v>64</v>
      </c>
      <c r="F476" s="15">
        <v>1125000</v>
      </c>
    </row>
    <row r="477" spans="3:6" x14ac:dyDescent="0.3">
      <c r="C477" s="1" t="s">
        <v>519</v>
      </c>
      <c r="D477" s="1" t="s">
        <v>78</v>
      </c>
      <c r="E477" s="1" t="s">
        <v>79</v>
      </c>
      <c r="F477" s="15">
        <v>1125000</v>
      </c>
    </row>
    <row r="478" spans="3:6" x14ac:dyDescent="0.3">
      <c r="C478" s="1" t="s">
        <v>520</v>
      </c>
      <c r="D478" s="1" t="s">
        <v>37</v>
      </c>
      <c r="E478" s="1" t="s">
        <v>79</v>
      </c>
      <c r="F478" s="15">
        <v>1100000</v>
      </c>
    </row>
    <row r="479" spans="3:6" x14ac:dyDescent="0.3">
      <c r="C479" s="1" t="s">
        <v>521</v>
      </c>
      <c r="D479" s="1" t="s">
        <v>102</v>
      </c>
      <c r="E479" s="1" t="s">
        <v>51</v>
      </c>
      <c r="F479" s="15">
        <v>1075000</v>
      </c>
    </row>
    <row r="480" spans="3:6" x14ac:dyDescent="0.3">
      <c r="C480" s="1" t="s">
        <v>522</v>
      </c>
      <c r="D480" s="1" t="s">
        <v>9</v>
      </c>
      <c r="E480" s="1" t="s">
        <v>6</v>
      </c>
      <c r="F480" s="15">
        <v>1075000</v>
      </c>
    </row>
    <row r="481" spans="3:6" x14ac:dyDescent="0.3">
      <c r="C481" s="1" t="s">
        <v>523</v>
      </c>
      <c r="D481" s="1" t="s">
        <v>68</v>
      </c>
      <c r="E481" s="1" t="s">
        <v>79</v>
      </c>
      <c r="F481" s="15">
        <v>1000000</v>
      </c>
    </row>
    <row r="482" spans="3:6" x14ac:dyDescent="0.3">
      <c r="C482" s="1" t="s">
        <v>524</v>
      </c>
      <c r="D482" s="1" t="s">
        <v>68</v>
      </c>
      <c r="E482" s="1" t="s">
        <v>43</v>
      </c>
      <c r="F482" s="15">
        <v>1000000</v>
      </c>
    </row>
    <row r="483" spans="3:6" x14ac:dyDescent="0.3">
      <c r="C483" s="1" t="s">
        <v>525</v>
      </c>
      <c r="D483" s="1" t="s">
        <v>31</v>
      </c>
      <c r="E483" s="1" t="s">
        <v>40</v>
      </c>
      <c r="F483" s="15">
        <v>1000000</v>
      </c>
    </row>
    <row r="484" spans="3:6" x14ac:dyDescent="0.3">
      <c r="C484" s="1" t="s">
        <v>526</v>
      </c>
      <c r="D484" s="1" t="s">
        <v>102</v>
      </c>
      <c r="E484" s="1" t="s">
        <v>51</v>
      </c>
      <c r="F484" s="15">
        <v>1000000</v>
      </c>
    </row>
    <row r="485" spans="3:6" x14ac:dyDescent="0.3">
      <c r="C485" s="1" t="s">
        <v>527</v>
      </c>
      <c r="D485" s="1" t="s">
        <v>66</v>
      </c>
      <c r="E485" s="1" t="s">
        <v>79</v>
      </c>
      <c r="F485" s="15">
        <v>1000000</v>
      </c>
    </row>
    <row r="486" spans="3:6" x14ac:dyDescent="0.3">
      <c r="C486" s="1" t="s">
        <v>528</v>
      </c>
      <c r="D486" s="1" t="s">
        <v>9</v>
      </c>
      <c r="E486" s="1" t="s">
        <v>22</v>
      </c>
      <c r="F486" s="15">
        <v>1000000</v>
      </c>
    </row>
    <row r="487" spans="3:6" x14ac:dyDescent="0.3">
      <c r="C487" s="1" t="s">
        <v>529</v>
      </c>
      <c r="D487" s="1" t="s">
        <v>68</v>
      </c>
      <c r="E487" s="1" t="s">
        <v>19</v>
      </c>
      <c r="F487" s="15">
        <v>1000000</v>
      </c>
    </row>
    <row r="488" spans="3:6" x14ac:dyDescent="0.3">
      <c r="C488" s="1" t="s">
        <v>530</v>
      </c>
      <c r="D488" s="1" t="s">
        <v>31</v>
      </c>
      <c r="E488" s="1" t="s">
        <v>51</v>
      </c>
      <c r="F488" s="15">
        <v>960000</v>
      </c>
    </row>
    <row r="489" spans="3:6" x14ac:dyDescent="0.3">
      <c r="C489" s="1" t="s">
        <v>531</v>
      </c>
      <c r="D489" s="1" t="s">
        <v>39</v>
      </c>
      <c r="E489" s="1" t="s">
        <v>51</v>
      </c>
      <c r="F489" s="15">
        <v>950000</v>
      </c>
    </row>
    <row r="490" spans="3:6" x14ac:dyDescent="0.3">
      <c r="C490" s="1" t="s">
        <v>532</v>
      </c>
      <c r="D490" s="1" t="s">
        <v>12</v>
      </c>
      <c r="E490" s="1" t="s">
        <v>79</v>
      </c>
      <c r="F490" s="15">
        <v>920000</v>
      </c>
    </row>
    <row r="491" spans="3:6" x14ac:dyDescent="0.3">
      <c r="C491" s="1" t="s">
        <v>533</v>
      </c>
      <c r="D491" s="1" t="s">
        <v>14</v>
      </c>
      <c r="E491" s="1" t="s">
        <v>51</v>
      </c>
      <c r="F491" s="15">
        <v>910000</v>
      </c>
    </row>
    <row r="492" spans="3:6" x14ac:dyDescent="0.3">
      <c r="C492" s="1" t="s">
        <v>534</v>
      </c>
      <c r="D492" s="1" t="s">
        <v>27</v>
      </c>
      <c r="E492" s="1" t="s">
        <v>79</v>
      </c>
      <c r="F492" s="15">
        <v>910000</v>
      </c>
    </row>
    <row r="493" spans="3:6" x14ac:dyDescent="0.3">
      <c r="C493" s="1" t="s">
        <v>535</v>
      </c>
      <c r="D493" s="1" t="s">
        <v>55</v>
      </c>
      <c r="E493" s="1" t="s">
        <v>43</v>
      </c>
      <c r="F493" s="15">
        <v>910000</v>
      </c>
    </row>
    <row r="494" spans="3:6" x14ac:dyDescent="0.3">
      <c r="C494" s="1" t="s">
        <v>536</v>
      </c>
      <c r="D494" s="1" t="s">
        <v>12</v>
      </c>
      <c r="E494" s="1" t="s">
        <v>51</v>
      </c>
      <c r="F494" s="15">
        <v>900000</v>
      </c>
    </row>
    <row r="495" spans="3:6" x14ac:dyDescent="0.3">
      <c r="C495" s="1" t="s">
        <v>537</v>
      </c>
      <c r="D495" s="1" t="s">
        <v>216</v>
      </c>
      <c r="E495" s="1" t="s">
        <v>79</v>
      </c>
      <c r="F495" s="15">
        <v>900000</v>
      </c>
    </row>
    <row r="496" spans="3:6" x14ac:dyDescent="0.3">
      <c r="C496" s="1" t="s">
        <v>538</v>
      </c>
      <c r="D496" s="1" t="s">
        <v>124</v>
      </c>
      <c r="E496" s="1" t="s">
        <v>79</v>
      </c>
      <c r="F496" s="15">
        <v>900000</v>
      </c>
    </row>
    <row r="497" spans="3:6" x14ac:dyDescent="0.3">
      <c r="C497" s="1" t="s">
        <v>539</v>
      </c>
      <c r="D497" s="1" t="s">
        <v>27</v>
      </c>
      <c r="E497" s="1" t="s">
        <v>6</v>
      </c>
      <c r="F497" s="15">
        <v>900000</v>
      </c>
    </row>
    <row r="498" spans="3:6" x14ac:dyDescent="0.3">
      <c r="C498" s="1" t="s">
        <v>540</v>
      </c>
      <c r="D498" s="1" t="s">
        <v>29</v>
      </c>
      <c r="E498" s="1" t="s">
        <v>79</v>
      </c>
      <c r="F498" s="15">
        <v>900000</v>
      </c>
    </row>
    <row r="499" spans="3:6" x14ac:dyDescent="0.3">
      <c r="C499" s="1" t="s">
        <v>541</v>
      </c>
      <c r="D499" s="1" t="s">
        <v>61</v>
      </c>
      <c r="E499" s="1" t="s">
        <v>51</v>
      </c>
      <c r="F499" s="15">
        <v>850000</v>
      </c>
    </row>
    <row r="500" spans="3:6" x14ac:dyDescent="0.3">
      <c r="C500" s="1" t="s">
        <v>542</v>
      </c>
      <c r="D500" s="1" t="s">
        <v>118</v>
      </c>
      <c r="E500" s="1" t="s">
        <v>40</v>
      </c>
      <c r="F500" s="15">
        <v>850000</v>
      </c>
    </row>
    <row r="501" spans="3:6" x14ac:dyDescent="0.3">
      <c r="C501" s="1" t="s">
        <v>543</v>
      </c>
      <c r="D501" s="1" t="s">
        <v>61</v>
      </c>
      <c r="E501" s="1" t="s">
        <v>79</v>
      </c>
      <c r="F501" s="15">
        <v>800000</v>
      </c>
    </row>
    <row r="502" spans="3:6" x14ac:dyDescent="0.3">
      <c r="C502" s="1" t="s">
        <v>544</v>
      </c>
      <c r="D502" s="1" t="s">
        <v>63</v>
      </c>
      <c r="E502" s="1" t="s">
        <v>6</v>
      </c>
      <c r="F502" s="15">
        <v>800000</v>
      </c>
    </row>
    <row r="503" spans="3:6" x14ac:dyDescent="0.3">
      <c r="C503" s="1" t="s">
        <v>545</v>
      </c>
      <c r="D503" s="1" t="s">
        <v>63</v>
      </c>
      <c r="E503" s="1" t="s">
        <v>79</v>
      </c>
      <c r="F503" s="15">
        <v>800000</v>
      </c>
    </row>
    <row r="504" spans="3:6" x14ac:dyDescent="0.3">
      <c r="C504" s="1" t="s">
        <v>546</v>
      </c>
      <c r="D504" s="1" t="s">
        <v>118</v>
      </c>
      <c r="E504" s="1" t="s">
        <v>22</v>
      </c>
      <c r="F504" s="15">
        <v>782000</v>
      </c>
    </row>
    <row r="505" spans="3:6" x14ac:dyDescent="0.3">
      <c r="C505" s="1" t="s">
        <v>547</v>
      </c>
      <c r="D505" s="1" t="s">
        <v>29</v>
      </c>
      <c r="E505" s="1" t="s">
        <v>79</v>
      </c>
      <c r="F505" s="15">
        <v>750000</v>
      </c>
    </row>
    <row r="506" spans="3:6" x14ac:dyDescent="0.3">
      <c r="C506" s="1" t="s">
        <v>548</v>
      </c>
      <c r="D506" s="1" t="s">
        <v>91</v>
      </c>
      <c r="E506" s="1" t="s">
        <v>79</v>
      </c>
      <c r="F506" s="15">
        <v>750000</v>
      </c>
    </row>
    <row r="507" spans="3:6" x14ac:dyDescent="0.3">
      <c r="C507" s="1" t="s">
        <v>549</v>
      </c>
      <c r="D507" s="1" t="s">
        <v>14</v>
      </c>
      <c r="E507" s="1" t="s">
        <v>64</v>
      </c>
      <c r="F507" s="15">
        <v>717500</v>
      </c>
    </row>
    <row r="508" spans="3:6" x14ac:dyDescent="0.3">
      <c r="C508" s="1" t="s">
        <v>550</v>
      </c>
      <c r="D508" s="1" t="s">
        <v>16</v>
      </c>
      <c r="E508" s="1" t="s">
        <v>79</v>
      </c>
      <c r="F508" s="15">
        <v>710000</v>
      </c>
    </row>
    <row r="509" spans="3:6" x14ac:dyDescent="0.3">
      <c r="C509" s="1" t="s">
        <v>551</v>
      </c>
      <c r="D509" s="1" t="s">
        <v>18</v>
      </c>
      <c r="E509" s="1" t="s">
        <v>43</v>
      </c>
      <c r="F509" s="15">
        <v>700000</v>
      </c>
    </row>
    <row r="510" spans="3:6" x14ac:dyDescent="0.3">
      <c r="C510" s="1" t="s">
        <v>552</v>
      </c>
      <c r="D510" s="1" t="s">
        <v>156</v>
      </c>
      <c r="E510" s="1" t="s">
        <v>22</v>
      </c>
      <c r="F510" s="15">
        <v>700000</v>
      </c>
    </row>
    <row r="511" spans="3:6" x14ac:dyDescent="0.3">
      <c r="C511" s="1" t="s">
        <v>553</v>
      </c>
      <c r="D511" s="1" t="s">
        <v>91</v>
      </c>
      <c r="E511" s="1" t="s">
        <v>79</v>
      </c>
      <c r="F511" s="15">
        <v>687600</v>
      </c>
    </row>
    <row r="512" spans="3:6" x14ac:dyDescent="0.3">
      <c r="C512" s="1" t="s">
        <v>554</v>
      </c>
      <c r="D512" s="1" t="s">
        <v>34</v>
      </c>
      <c r="E512" s="1" t="s">
        <v>35</v>
      </c>
      <c r="F512" s="15">
        <v>684300</v>
      </c>
    </row>
    <row r="513" spans="3:6" x14ac:dyDescent="0.3">
      <c r="C513" s="1" t="s">
        <v>555</v>
      </c>
      <c r="D513" s="1" t="s">
        <v>29</v>
      </c>
      <c r="E513" s="1" t="s">
        <v>51</v>
      </c>
      <c r="F513" s="15">
        <v>684000</v>
      </c>
    </row>
    <row r="514" spans="3:6" x14ac:dyDescent="0.3">
      <c r="C514" s="1" t="s">
        <v>556</v>
      </c>
      <c r="D514" s="1" t="s">
        <v>18</v>
      </c>
      <c r="E514" s="1" t="s">
        <v>43</v>
      </c>
      <c r="F514" s="15">
        <v>670500</v>
      </c>
    </row>
    <row r="515" spans="3:6" x14ac:dyDescent="0.3">
      <c r="C515" s="1" t="s">
        <v>557</v>
      </c>
      <c r="D515" s="1" t="s">
        <v>34</v>
      </c>
      <c r="E515" s="1" t="s">
        <v>51</v>
      </c>
      <c r="F515" s="15">
        <v>669800</v>
      </c>
    </row>
    <row r="516" spans="3:6" x14ac:dyDescent="0.3">
      <c r="C516" s="1" t="s">
        <v>558</v>
      </c>
      <c r="D516" s="1" t="s">
        <v>9</v>
      </c>
      <c r="E516" s="1" t="s">
        <v>6</v>
      </c>
      <c r="F516" s="15">
        <v>650000</v>
      </c>
    </row>
    <row r="517" spans="3:6" x14ac:dyDescent="0.3">
      <c r="C517" s="1" t="s">
        <v>559</v>
      </c>
      <c r="D517" s="1" t="s">
        <v>156</v>
      </c>
      <c r="E517" s="1" t="s">
        <v>79</v>
      </c>
      <c r="F517" s="15">
        <v>650000</v>
      </c>
    </row>
    <row r="518" spans="3:6" x14ac:dyDescent="0.3">
      <c r="C518" s="1" t="s">
        <v>560</v>
      </c>
      <c r="D518" s="1" t="s">
        <v>63</v>
      </c>
      <c r="E518" s="1" t="s">
        <v>6</v>
      </c>
      <c r="F518" s="15">
        <v>650000</v>
      </c>
    </row>
    <row r="519" spans="3:6" x14ac:dyDescent="0.3">
      <c r="C519" s="1" t="s">
        <v>561</v>
      </c>
      <c r="D519" s="1" t="s">
        <v>63</v>
      </c>
      <c r="E519" s="1" t="s">
        <v>22</v>
      </c>
      <c r="F519" s="15">
        <v>650000</v>
      </c>
    </row>
    <row r="520" spans="3:6" x14ac:dyDescent="0.3">
      <c r="C520" s="1" t="s">
        <v>562</v>
      </c>
      <c r="D520" s="1" t="s">
        <v>24</v>
      </c>
      <c r="E520" s="1" t="s">
        <v>32</v>
      </c>
      <c r="F520" s="15">
        <v>640500</v>
      </c>
    </row>
    <row r="521" spans="3:6" x14ac:dyDescent="0.3">
      <c r="C521" s="1" t="s">
        <v>563</v>
      </c>
      <c r="D521" s="1" t="s">
        <v>91</v>
      </c>
      <c r="E521" s="1" t="s">
        <v>40</v>
      </c>
      <c r="F521" s="15">
        <v>637500</v>
      </c>
    </row>
    <row r="522" spans="3:6" x14ac:dyDescent="0.3">
      <c r="C522" s="1" t="s">
        <v>564</v>
      </c>
      <c r="D522" s="1" t="s">
        <v>39</v>
      </c>
      <c r="E522" s="1" t="s">
        <v>10</v>
      </c>
      <c r="F522" s="15">
        <v>625000</v>
      </c>
    </row>
    <row r="523" spans="3:6" x14ac:dyDescent="0.3">
      <c r="C523" s="1" t="s">
        <v>565</v>
      </c>
      <c r="D523" s="1" t="s">
        <v>124</v>
      </c>
      <c r="E523" s="1" t="s">
        <v>6</v>
      </c>
      <c r="F523" s="15">
        <v>620000</v>
      </c>
    </row>
    <row r="524" spans="3:6" x14ac:dyDescent="0.3">
      <c r="C524" s="1" t="s">
        <v>566</v>
      </c>
      <c r="D524" s="1" t="s">
        <v>34</v>
      </c>
      <c r="E524" s="1" t="s">
        <v>32</v>
      </c>
      <c r="F524" s="15">
        <v>617600</v>
      </c>
    </row>
    <row r="525" spans="3:6" x14ac:dyDescent="0.3">
      <c r="C525" s="1" t="s">
        <v>567</v>
      </c>
      <c r="D525" s="1" t="s">
        <v>29</v>
      </c>
      <c r="E525" s="1" t="s">
        <v>22</v>
      </c>
      <c r="F525" s="15">
        <v>615500</v>
      </c>
    </row>
    <row r="526" spans="3:6" x14ac:dyDescent="0.3">
      <c r="C526" s="1" t="s">
        <v>568</v>
      </c>
      <c r="D526" s="1" t="s">
        <v>14</v>
      </c>
      <c r="E526" s="1" t="s">
        <v>32</v>
      </c>
      <c r="F526" s="15">
        <v>614500</v>
      </c>
    </row>
    <row r="527" spans="3:6" x14ac:dyDescent="0.3">
      <c r="C527" s="1" t="s">
        <v>569</v>
      </c>
      <c r="D527" s="1" t="s">
        <v>27</v>
      </c>
      <c r="E527" s="1" t="s">
        <v>79</v>
      </c>
      <c r="F527" s="15">
        <v>610000</v>
      </c>
    </row>
    <row r="528" spans="3:6" x14ac:dyDescent="0.3">
      <c r="C528" s="1" t="s">
        <v>570</v>
      </c>
      <c r="D528" s="1" t="s">
        <v>12</v>
      </c>
      <c r="E528" s="1" t="s">
        <v>6</v>
      </c>
      <c r="F528" s="15">
        <v>609400</v>
      </c>
    </row>
    <row r="529" spans="3:6" x14ac:dyDescent="0.3">
      <c r="C529" s="1" t="s">
        <v>571</v>
      </c>
      <c r="D529" s="1" t="s">
        <v>21</v>
      </c>
      <c r="E529" s="1" t="s">
        <v>79</v>
      </c>
      <c r="F529" s="15">
        <v>607425</v>
      </c>
    </row>
    <row r="530" spans="3:6" x14ac:dyDescent="0.3">
      <c r="C530" s="1" t="s">
        <v>572</v>
      </c>
      <c r="D530" s="1" t="s">
        <v>66</v>
      </c>
      <c r="E530" s="1" t="s">
        <v>64</v>
      </c>
      <c r="F530" s="15">
        <v>605500</v>
      </c>
    </row>
    <row r="531" spans="3:6" x14ac:dyDescent="0.3">
      <c r="C531" s="1" t="s">
        <v>573</v>
      </c>
      <c r="D531" s="1" t="s">
        <v>34</v>
      </c>
      <c r="E531" s="1" t="s">
        <v>43</v>
      </c>
      <c r="F531" s="15">
        <v>605200</v>
      </c>
    </row>
    <row r="532" spans="3:6" x14ac:dyDescent="0.3">
      <c r="C532" s="1" t="s">
        <v>574</v>
      </c>
      <c r="D532" s="1" t="s">
        <v>16</v>
      </c>
      <c r="E532" s="1" t="s">
        <v>35</v>
      </c>
      <c r="F532" s="15">
        <v>605000</v>
      </c>
    </row>
    <row r="533" spans="3:6" x14ac:dyDescent="0.3">
      <c r="C533" s="1" t="s">
        <v>575</v>
      </c>
      <c r="D533" s="1" t="s">
        <v>34</v>
      </c>
      <c r="E533" s="1" t="s">
        <v>79</v>
      </c>
      <c r="F533" s="15">
        <v>598650</v>
      </c>
    </row>
    <row r="534" spans="3:6" x14ac:dyDescent="0.3">
      <c r="C534" s="1" t="s">
        <v>576</v>
      </c>
      <c r="D534" s="1" t="s">
        <v>21</v>
      </c>
      <c r="E534" s="1" t="s">
        <v>64</v>
      </c>
      <c r="F534" s="15">
        <v>598285</v>
      </c>
    </row>
    <row r="535" spans="3:6" x14ac:dyDescent="0.3">
      <c r="C535" s="1" t="s">
        <v>577</v>
      </c>
      <c r="D535" s="1" t="s">
        <v>37</v>
      </c>
      <c r="E535" s="1" t="s">
        <v>6</v>
      </c>
      <c r="F535" s="15">
        <v>598000</v>
      </c>
    </row>
    <row r="536" spans="3:6" x14ac:dyDescent="0.3">
      <c r="C536" s="1" t="s">
        <v>578</v>
      </c>
      <c r="D536" s="1" t="s">
        <v>34</v>
      </c>
      <c r="E536" s="1" t="s">
        <v>6</v>
      </c>
      <c r="F536" s="15">
        <v>596600</v>
      </c>
    </row>
    <row r="537" spans="3:6" x14ac:dyDescent="0.3">
      <c r="C537" s="1" t="s">
        <v>579</v>
      </c>
      <c r="D537" s="1" t="s">
        <v>16</v>
      </c>
      <c r="E537" s="1" t="s">
        <v>6</v>
      </c>
      <c r="F537" s="15">
        <v>595000</v>
      </c>
    </row>
    <row r="538" spans="3:6" x14ac:dyDescent="0.3">
      <c r="C538" s="1" t="s">
        <v>580</v>
      </c>
      <c r="D538" s="1" t="s">
        <v>5</v>
      </c>
      <c r="E538" s="1" t="s">
        <v>79</v>
      </c>
      <c r="F538" s="15">
        <v>593200</v>
      </c>
    </row>
    <row r="539" spans="3:6" x14ac:dyDescent="0.3">
      <c r="C539" s="1" t="s">
        <v>581</v>
      </c>
      <c r="D539" s="1" t="s">
        <v>68</v>
      </c>
      <c r="E539" s="1" t="s">
        <v>6</v>
      </c>
      <c r="F539" s="15">
        <v>592200</v>
      </c>
    </row>
    <row r="540" spans="3:6" x14ac:dyDescent="0.3">
      <c r="C540" s="1" t="s">
        <v>582</v>
      </c>
      <c r="D540" s="1" t="s">
        <v>21</v>
      </c>
      <c r="E540" s="1" t="s">
        <v>79</v>
      </c>
      <c r="F540" s="15">
        <v>591875</v>
      </c>
    </row>
    <row r="541" spans="3:6" x14ac:dyDescent="0.3">
      <c r="C541" s="1" t="s">
        <v>583</v>
      </c>
      <c r="D541" s="1" t="s">
        <v>24</v>
      </c>
      <c r="E541" s="1" t="s">
        <v>51</v>
      </c>
      <c r="F541" s="15">
        <v>590100</v>
      </c>
    </row>
    <row r="542" spans="3:6" x14ac:dyDescent="0.3">
      <c r="C542" s="1" t="s">
        <v>584</v>
      </c>
      <c r="D542" s="1" t="s">
        <v>27</v>
      </c>
      <c r="E542" s="1" t="s">
        <v>64</v>
      </c>
      <c r="F542" s="15">
        <v>590100</v>
      </c>
    </row>
    <row r="543" spans="3:6" x14ac:dyDescent="0.3">
      <c r="C543" s="1" t="s">
        <v>585</v>
      </c>
      <c r="D543" s="1" t="s">
        <v>37</v>
      </c>
      <c r="E543" s="1" t="s">
        <v>6</v>
      </c>
      <c r="F543" s="15">
        <v>590000</v>
      </c>
    </row>
    <row r="544" spans="3:6" x14ac:dyDescent="0.3">
      <c r="C544" s="1" t="s">
        <v>586</v>
      </c>
      <c r="D544" s="1" t="s">
        <v>156</v>
      </c>
      <c r="E544" s="1" t="s">
        <v>6</v>
      </c>
      <c r="F544" s="15">
        <v>587500</v>
      </c>
    </row>
    <row r="545" spans="3:6" x14ac:dyDescent="0.3">
      <c r="C545" s="1" t="s">
        <v>587</v>
      </c>
      <c r="D545" s="1" t="s">
        <v>156</v>
      </c>
      <c r="E545" s="1" t="s">
        <v>40</v>
      </c>
      <c r="F545" s="15">
        <v>587000</v>
      </c>
    </row>
    <row r="546" spans="3:6" x14ac:dyDescent="0.3">
      <c r="C546" s="1" t="s">
        <v>588</v>
      </c>
      <c r="D546" s="1" t="s">
        <v>78</v>
      </c>
      <c r="E546" s="1" t="s">
        <v>32</v>
      </c>
      <c r="F546" s="15">
        <v>585000</v>
      </c>
    </row>
    <row r="547" spans="3:6" x14ac:dyDescent="0.3">
      <c r="C547" s="1" t="s">
        <v>589</v>
      </c>
      <c r="D547" s="1" t="s">
        <v>47</v>
      </c>
      <c r="E547" s="1" t="s">
        <v>111</v>
      </c>
      <c r="F547" s="15">
        <v>585000</v>
      </c>
    </row>
    <row r="548" spans="3:6" x14ac:dyDescent="0.3">
      <c r="C548" s="1" t="s">
        <v>590</v>
      </c>
      <c r="D548" s="1" t="s">
        <v>47</v>
      </c>
      <c r="E548" s="1" t="s">
        <v>79</v>
      </c>
      <c r="F548" s="15">
        <v>585000</v>
      </c>
    </row>
    <row r="549" spans="3:6" x14ac:dyDescent="0.3">
      <c r="C549" s="1" t="s">
        <v>591</v>
      </c>
      <c r="D549" s="1" t="s">
        <v>156</v>
      </c>
      <c r="E549" s="1" t="s">
        <v>43</v>
      </c>
      <c r="F549" s="15">
        <v>584000</v>
      </c>
    </row>
    <row r="550" spans="3:6" x14ac:dyDescent="0.3">
      <c r="C550" s="1" t="s">
        <v>592</v>
      </c>
      <c r="D550" s="1" t="s">
        <v>156</v>
      </c>
      <c r="E550" s="1" t="s">
        <v>6</v>
      </c>
      <c r="F550" s="15">
        <v>584000</v>
      </c>
    </row>
    <row r="551" spans="3:6" x14ac:dyDescent="0.3">
      <c r="C551" s="1" t="s">
        <v>593</v>
      </c>
      <c r="D551" s="1" t="s">
        <v>24</v>
      </c>
      <c r="E551" s="1" t="s">
        <v>64</v>
      </c>
      <c r="F551" s="15">
        <v>583600</v>
      </c>
    </row>
    <row r="552" spans="3:6" x14ac:dyDescent="0.3">
      <c r="C552" s="1" t="s">
        <v>594</v>
      </c>
      <c r="D552" s="1" t="s">
        <v>9</v>
      </c>
      <c r="E552" s="1" t="s">
        <v>64</v>
      </c>
      <c r="F552" s="15">
        <v>583500</v>
      </c>
    </row>
    <row r="553" spans="3:6" x14ac:dyDescent="0.3">
      <c r="C553" s="1" t="s">
        <v>595</v>
      </c>
      <c r="D553" s="1" t="s">
        <v>24</v>
      </c>
      <c r="E553" s="1" t="s">
        <v>40</v>
      </c>
      <c r="F553" s="15">
        <v>582900</v>
      </c>
    </row>
    <row r="554" spans="3:6" x14ac:dyDescent="0.3">
      <c r="C554" s="1" t="s">
        <v>596</v>
      </c>
      <c r="D554" s="1" t="s">
        <v>21</v>
      </c>
      <c r="E554" s="1" t="s">
        <v>79</v>
      </c>
      <c r="F554" s="15">
        <v>582500</v>
      </c>
    </row>
    <row r="555" spans="3:6" x14ac:dyDescent="0.3">
      <c r="C555" s="1" t="s">
        <v>597</v>
      </c>
      <c r="D555" s="1" t="s">
        <v>156</v>
      </c>
      <c r="E555" s="1" t="s">
        <v>6</v>
      </c>
      <c r="F555" s="15">
        <v>582500</v>
      </c>
    </row>
    <row r="556" spans="3:6" x14ac:dyDescent="0.3">
      <c r="C556" s="1" t="s">
        <v>598</v>
      </c>
      <c r="D556" s="1" t="s">
        <v>55</v>
      </c>
      <c r="E556" s="1" t="s">
        <v>35</v>
      </c>
      <c r="F556" s="15">
        <v>582100</v>
      </c>
    </row>
    <row r="557" spans="3:6" x14ac:dyDescent="0.3">
      <c r="C557" s="1" t="s">
        <v>599</v>
      </c>
      <c r="D557" s="1" t="s">
        <v>55</v>
      </c>
      <c r="E557" s="1" t="s">
        <v>6</v>
      </c>
      <c r="F557" s="15">
        <v>581700</v>
      </c>
    </row>
    <row r="558" spans="3:6" x14ac:dyDescent="0.3">
      <c r="C558" s="1" t="s">
        <v>600</v>
      </c>
      <c r="D558" s="1" t="s">
        <v>156</v>
      </c>
      <c r="E558" s="1" t="s">
        <v>79</v>
      </c>
      <c r="F558" s="15">
        <v>581500</v>
      </c>
    </row>
    <row r="559" spans="3:6" x14ac:dyDescent="0.3">
      <c r="C559" s="1" t="s">
        <v>601</v>
      </c>
      <c r="D559" s="1" t="s">
        <v>156</v>
      </c>
      <c r="E559" s="1" t="s">
        <v>79</v>
      </c>
      <c r="F559" s="15">
        <v>581500</v>
      </c>
    </row>
    <row r="560" spans="3:6" x14ac:dyDescent="0.3">
      <c r="C560" s="1" t="s">
        <v>602</v>
      </c>
      <c r="D560" s="1" t="s">
        <v>12</v>
      </c>
      <c r="E560" s="1" t="s">
        <v>6</v>
      </c>
      <c r="F560" s="15">
        <v>581300</v>
      </c>
    </row>
    <row r="561" spans="3:6" x14ac:dyDescent="0.3">
      <c r="C561" s="1" t="s">
        <v>603</v>
      </c>
      <c r="D561" s="1" t="s">
        <v>27</v>
      </c>
      <c r="E561" s="1" t="s">
        <v>51</v>
      </c>
      <c r="F561" s="15">
        <v>581200</v>
      </c>
    </row>
    <row r="562" spans="3:6" x14ac:dyDescent="0.3">
      <c r="C562" s="1" t="s">
        <v>604</v>
      </c>
      <c r="D562" s="1" t="s">
        <v>5</v>
      </c>
      <c r="E562" s="1" t="s">
        <v>43</v>
      </c>
      <c r="F562" s="15">
        <v>581100</v>
      </c>
    </row>
    <row r="563" spans="3:6" x14ac:dyDescent="0.3">
      <c r="C563" s="1" t="s">
        <v>605</v>
      </c>
      <c r="D563" s="1" t="s">
        <v>34</v>
      </c>
      <c r="E563" s="1" t="s">
        <v>79</v>
      </c>
      <c r="F563" s="15">
        <v>580300</v>
      </c>
    </row>
    <row r="564" spans="3:6" x14ac:dyDescent="0.3">
      <c r="C564" s="1" t="s">
        <v>606</v>
      </c>
      <c r="D564" s="1" t="s">
        <v>102</v>
      </c>
      <c r="E564" s="1" t="s">
        <v>32</v>
      </c>
      <c r="F564" s="15">
        <v>580000</v>
      </c>
    </row>
    <row r="565" spans="3:6" x14ac:dyDescent="0.3">
      <c r="C565" s="1" t="s">
        <v>607</v>
      </c>
      <c r="D565" s="1" t="s">
        <v>39</v>
      </c>
      <c r="E565" s="1" t="s">
        <v>64</v>
      </c>
      <c r="F565" s="15">
        <v>580000</v>
      </c>
    </row>
    <row r="566" spans="3:6" x14ac:dyDescent="0.3">
      <c r="C566" s="1" t="s">
        <v>608</v>
      </c>
      <c r="D566" s="1" t="s">
        <v>106</v>
      </c>
      <c r="E566" s="1" t="s">
        <v>6</v>
      </c>
      <c r="F566" s="15">
        <v>580000</v>
      </c>
    </row>
    <row r="567" spans="3:6" x14ac:dyDescent="0.3">
      <c r="C567" s="1" t="s">
        <v>609</v>
      </c>
      <c r="D567" s="1" t="s">
        <v>27</v>
      </c>
      <c r="E567" s="1" t="s">
        <v>32</v>
      </c>
      <c r="F567" s="15">
        <v>579800</v>
      </c>
    </row>
    <row r="568" spans="3:6" x14ac:dyDescent="0.3">
      <c r="C568" s="1" t="s">
        <v>610</v>
      </c>
      <c r="D568" s="1" t="s">
        <v>156</v>
      </c>
      <c r="E568" s="1" t="s">
        <v>32</v>
      </c>
      <c r="F568" s="15">
        <v>579500</v>
      </c>
    </row>
    <row r="569" spans="3:6" x14ac:dyDescent="0.3">
      <c r="C569" s="1" t="s">
        <v>611</v>
      </c>
      <c r="D569" s="1" t="s">
        <v>216</v>
      </c>
      <c r="E569" s="1" t="s">
        <v>79</v>
      </c>
      <c r="F569" s="15">
        <v>579500</v>
      </c>
    </row>
    <row r="570" spans="3:6" x14ac:dyDescent="0.3">
      <c r="C570" s="1" t="s">
        <v>612</v>
      </c>
      <c r="D570" s="1" t="s">
        <v>216</v>
      </c>
      <c r="E570" s="1" t="s">
        <v>51</v>
      </c>
      <c r="F570" s="15">
        <v>579000</v>
      </c>
    </row>
    <row r="571" spans="3:6" x14ac:dyDescent="0.3">
      <c r="C571" s="1" t="s">
        <v>613</v>
      </c>
      <c r="D571" s="1" t="s">
        <v>34</v>
      </c>
      <c r="E571" s="1" t="s">
        <v>6</v>
      </c>
      <c r="F571" s="15">
        <v>578975</v>
      </c>
    </row>
    <row r="572" spans="3:6" x14ac:dyDescent="0.3">
      <c r="C572" s="1" t="s">
        <v>614</v>
      </c>
      <c r="D572" s="1" t="s">
        <v>216</v>
      </c>
      <c r="E572" s="1" t="s">
        <v>64</v>
      </c>
      <c r="F572" s="15">
        <v>578600</v>
      </c>
    </row>
    <row r="573" spans="3:6" x14ac:dyDescent="0.3">
      <c r="C573" s="1" t="s">
        <v>615</v>
      </c>
      <c r="D573" s="1" t="s">
        <v>156</v>
      </c>
      <c r="E573" s="1" t="s">
        <v>51</v>
      </c>
      <c r="F573" s="15">
        <v>578500</v>
      </c>
    </row>
    <row r="574" spans="3:6" x14ac:dyDescent="0.3">
      <c r="C574" s="1" t="s">
        <v>616</v>
      </c>
      <c r="D574" s="1" t="s">
        <v>27</v>
      </c>
      <c r="E574" s="1" t="s">
        <v>10</v>
      </c>
      <c r="F574" s="15">
        <v>578400</v>
      </c>
    </row>
    <row r="575" spans="3:6" x14ac:dyDescent="0.3">
      <c r="C575" s="1" t="s">
        <v>617</v>
      </c>
      <c r="D575" s="1" t="s">
        <v>74</v>
      </c>
      <c r="E575" s="1" t="s">
        <v>10</v>
      </c>
      <c r="F575" s="15">
        <v>578300</v>
      </c>
    </row>
    <row r="576" spans="3:6" x14ac:dyDescent="0.3">
      <c r="C576" s="1" t="s">
        <v>618</v>
      </c>
      <c r="D576" s="1" t="s">
        <v>5</v>
      </c>
      <c r="E576" s="1" t="s">
        <v>64</v>
      </c>
      <c r="F576" s="15">
        <v>578300</v>
      </c>
    </row>
    <row r="577" spans="3:6" x14ac:dyDescent="0.3">
      <c r="C577" s="1" t="s">
        <v>619</v>
      </c>
      <c r="D577" s="1" t="s">
        <v>63</v>
      </c>
      <c r="E577" s="1" t="s">
        <v>6</v>
      </c>
      <c r="F577" s="15">
        <v>578250</v>
      </c>
    </row>
    <row r="578" spans="3:6" x14ac:dyDescent="0.3">
      <c r="C578" s="1" t="s">
        <v>620</v>
      </c>
      <c r="D578" s="1" t="s">
        <v>63</v>
      </c>
      <c r="E578" s="1" t="s">
        <v>79</v>
      </c>
      <c r="F578" s="15">
        <v>578250</v>
      </c>
    </row>
    <row r="579" spans="3:6" x14ac:dyDescent="0.3">
      <c r="C579" s="1" t="s">
        <v>621</v>
      </c>
      <c r="D579" s="1" t="s">
        <v>63</v>
      </c>
      <c r="E579" s="1" t="s">
        <v>6</v>
      </c>
      <c r="F579" s="15">
        <v>578175</v>
      </c>
    </row>
    <row r="580" spans="3:6" x14ac:dyDescent="0.3">
      <c r="C580" s="1" t="s">
        <v>622</v>
      </c>
      <c r="D580" s="1" t="s">
        <v>61</v>
      </c>
      <c r="E580" s="1" t="s">
        <v>32</v>
      </c>
      <c r="F580" s="15">
        <v>578000</v>
      </c>
    </row>
    <row r="581" spans="3:6" x14ac:dyDescent="0.3">
      <c r="C581" s="1" t="s">
        <v>623</v>
      </c>
      <c r="D581" s="1" t="s">
        <v>156</v>
      </c>
      <c r="E581" s="1" t="s">
        <v>6</v>
      </c>
      <c r="F581" s="15">
        <v>578000</v>
      </c>
    </row>
    <row r="582" spans="3:6" x14ac:dyDescent="0.3">
      <c r="C582" s="1" t="s">
        <v>624</v>
      </c>
      <c r="D582" s="1" t="s">
        <v>34</v>
      </c>
      <c r="E582" s="1" t="s">
        <v>79</v>
      </c>
      <c r="F582" s="15">
        <v>577500</v>
      </c>
    </row>
    <row r="583" spans="3:6" x14ac:dyDescent="0.3">
      <c r="C583" s="1" t="s">
        <v>625</v>
      </c>
      <c r="D583" s="1" t="s">
        <v>14</v>
      </c>
      <c r="E583" s="1" t="s">
        <v>79</v>
      </c>
      <c r="F583" s="15">
        <v>577500</v>
      </c>
    </row>
    <row r="584" spans="3:6" x14ac:dyDescent="0.3">
      <c r="C584" s="1" t="s">
        <v>626</v>
      </c>
      <c r="D584" s="1" t="s">
        <v>55</v>
      </c>
      <c r="E584" s="1" t="s">
        <v>10</v>
      </c>
      <c r="F584" s="15">
        <v>577100</v>
      </c>
    </row>
    <row r="585" spans="3:6" x14ac:dyDescent="0.3">
      <c r="C585" s="1" t="s">
        <v>627</v>
      </c>
      <c r="D585" s="1" t="s">
        <v>156</v>
      </c>
      <c r="E585" s="1" t="s">
        <v>111</v>
      </c>
      <c r="F585" s="15">
        <v>577000</v>
      </c>
    </row>
    <row r="586" spans="3:6" x14ac:dyDescent="0.3">
      <c r="C586" s="1" t="s">
        <v>628</v>
      </c>
      <c r="D586" s="1" t="s">
        <v>5</v>
      </c>
      <c r="E586" s="1" t="s">
        <v>79</v>
      </c>
      <c r="F586" s="15">
        <v>576400</v>
      </c>
    </row>
    <row r="587" spans="3:6" x14ac:dyDescent="0.3">
      <c r="C587" s="1" t="s">
        <v>629</v>
      </c>
      <c r="D587" s="1" t="s">
        <v>63</v>
      </c>
      <c r="E587" s="1" t="s">
        <v>111</v>
      </c>
      <c r="F587" s="15">
        <v>576000</v>
      </c>
    </row>
    <row r="588" spans="3:6" x14ac:dyDescent="0.3">
      <c r="C588" s="1" t="s">
        <v>630</v>
      </c>
      <c r="D588" s="1" t="s">
        <v>21</v>
      </c>
      <c r="E588" s="1" t="s">
        <v>111</v>
      </c>
      <c r="F588" s="15">
        <v>575500</v>
      </c>
    </row>
    <row r="589" spans="3:6" x14ac:dyDescent="0.3">
      <c r="C589" s="1" t="s">
        <v>631</v>
      </c>
      <c r="D589" s="1" t="s">
        <v>61</v>
      </c>
      <c r="E589" s="1" t="s">
        <v>64</v>
      </c>
      <c r="F589" s="15">
        <v>575500</v>
      </c>
    </row>
    <row r="590" spans="3:6" x14ac:dyDescent="0.3">
      <c r="C590" s="1" t="s">
        <v>632</v>
      </c>
      <c r="D590" s="1" t="s">
        <v>47</v>
      </c>
      <c r="E590" s="1" t="s">
        <v>43</v>
      </c>
      <c r="F590" s="15">
        <v>575000</v>
      </c>
    </row>
    <row r="591" spans="3:6" x14ac:dyDescent="0.3">
      <c r="C591" s="1" t="s">
        <v>633</v>
      </c>
      <c r="D591" s="1" t="s">
        <v>47</v>
      </c>
      <c r="E591" s="1" t="s">
        <v>79</v>
      </c>
      <c r="F591" s="15">
        <v>575000</v>
      </c>
    </row>
    <row r="592" spans="3:6" x14ac:dyDescent="0.3">
      <c r="C592" s="1" t="s">
        <v>634</v>
      </c>
      <c r="D592" s="1" t="s">
        <v>37</v>
      </c>
      <c r="E592" s="1" t="s">
        <v>40</v>
      </c>
      <c r="F592" s="15">
        <v>575000</v>
      </c>
    </row>
    <row r="593" spans="3:6" x14ac:dyDescent="0.3">
      <c r="C593" s="1" t="s">
        <v>635</v>
      </c>
      <c r="D593" s="1" t="s">
        <v>47</v>
      </c>
      <c r="E593" s="1" t="s">
        <v>32</v>
      </c>
      <c r="F593" s="15">
        <v>575000</v>
      </c>
    </row>
    <row r="594" spans="3:6" x14ac:dyDescent="0.3">
      <c r="C594" s="1" t="s">
        <v>636</v>
      </c>
      <c r="D594" s="1" t="s">
        <v>47</v>
      </c>
      <c r="E594" s="1" t="s">
        <v>6</v>
      </c>
      <c r="F594" s="15">
        <v>575000</v>
      </c>
    </row>
    <row r="595" spans="3:6" x14ac:dyDescent="0.3">
      <c r="C595" s="1" t="s">
        <v>637</v>
      </c>
      <c r="D595" s="1" t="s">
        <v>47</v>
      </c>
      <c r="E595" s="1" t="s">
        <v>79</v>
      </c>
      <c r="F595" s="15">
        <v>575000</v>
      </c>
    </row>
    <row r="596" spans="3:6" x14ac:dyDescent="0.3">
      <c r="C596" s="1" t="s">
        <v>638</v>
      </c>
      <c r="D596" s="1" t="s">
        <v>47</v>
      </c>
      <c r="E596" s="1" t="s">
        <v>79</v>
      </c>
      <c r="F596" s="15">
        <v>575000</v>
      </c>
    </row>
    <row r="597" spans="3:6" x14ac:dyDescent="0.3">
      <c r="C597" s="1" t="s">
        <v>639</v>
      </c>
      <c r="D597" s="1" t="s">
        <v>14</v>
      </c>
      <c r="E597" s="1" t="s">
        <v>79</v>
      </c>
      <c r="F597" s="15">
        <v>575000</v>
      </c>
    </row>
    <row r="598" spans="3:6" x14ac:dyDescent="0.3">
      <c r="C598" s="1" t="s">
        <v>640</v>
      </c>
      <c r="D598" s="1" t="s">
        <v>29</v>
      </c>
      <c r="E598" s="1" t="s">
        <v>6</v>
      </c>
      <c r="F598" s="15">
        <v>575000</v>
      </c>
    </row>
    <row r="599" spans="3:6" x14ac:dyDescent="0.3">
      <c r="C599" s="1" t="s">
        <v>641</v>
      </c>
      <c r="D599" s="1" t="s">
        <v>106</v>
      </c>
      <c r="E599" s="1" t="s">
        <v>32</v>
      </c>
      <c r="F599" s="15">
        <v>575000</v>
      </c>
    </row>
    <row r="600" spans="3:6" x14ac:dyDescent="0.3">
      <c r="C600" s="1" t="s">
        <v>642</v>
      </c>
      <c r="D600" s="1" t="s">
        <v>16</v>
      </c>
      <c r="E600" s="1" t="s">
        <v>40</v>
      </c>
      <c r="F600" s="15">
        <v>575000</v>
      </c>
    </row>
    <row r="601" spans="3:6" x14ac:dyDescent="0.3">
      <c r="C601" s="1" t="s">
        <v>643</v>
      </c>
      <c r="D601" s="1" t="s">
        <v>16</v>
      </c>
      <c r="E601" s="1" t="s">
        <v>51</v>
      </c>
      <c r="F601" s="15">
        <v>575000</v>
      </c>
    </row>
    <row r="602" spans="3:6" x14ac:dyDescent="0.3">
      <c r="C602" s="1" t="s">
        <v>644</v>
      </c>
      <c r="D602" s="1" t="s">
        <v>16</v>
      </c>
      <c r="E602" s="1" t="s">
        <v>79</v>
      </c>
      <c r="F602" s="15">
        <v>575000</v>
      </c>
    </row>
    <row r="603" spans="3:6" x14ac:dyDescent="0.3">
      <c r="C603" s="1" t="s">
        <v>645</v>
      </c>
      <c r="D603" s="1" t="s">
        <v>78</v>
      </c>
      <c r="E603" s="1" t="s">
        <v>79</v>
      </c>
      <c r="F603" s="15">
        <v>575000</v>
      </c>
    </row>
    <row r="604" spans="3:6" x14ac:dyDescent="0.3">
      <c r="C604" s="1" t="s">
        <v>646</v>
      </c>
      <c r="D604" s="1" t="s">
        <v>124</v>
      </c>
      <c r="E604" s="1" t="s">
        <v>51</v>
      </c>
      <c r="F604" s="15">
        <v>575000</v>
      </c>
    </row>
    <row r="605" spans="3:6" x14ac:dyDescent="0.3">
      <c r="C605" s="1" t="s">
        <v>647</v>
      </c>
      <c r="D605" s="1" t="s">
        <v>37</v>
      </c>
      <c r="E605" s="1" t="s">
        <v>35</v>
      </c>
      <c r="F605" s="15">
        <v>575000</v>
      </c>
    </row>
    <row r="606" spans="3:6" x14ac:dyDescent="0.3">
      <c r="C606" s="1" t="s">
        <v>648</v>
      </c>
      <c r="D606" s="1" t="s">
        <v>27</v>
      </c>
      <c r="E606" s="1" t="s">
        <v>79</v>
      </c>
      <c r="F606" s="15">
        <v>575000</v>
      </c>
    </row>
    <row r="607" spans="3:6" x14ac:dyDescent="0.3">
      <c r="C607" s="1" t="s">
        <v>649</v>
      </c>
      <c r="D607" s="1" t="s">
        <v>9</v>
      </c>
      <c r="E607" s="1" t="s">
        <v>79</v>
      </c>
      <c r="F607" s="15">
        <v>575000</v>
      </c>
    </row>
    <row r="608" spans="3:6" x14ac:dyDescent="0.3">
      <c r="C608" s="1" t="s">
        <v>650</v>
      </c>
      <c r="D608" s="1" t="s">
        <v>102</v>
      </c>
      <c r="E608" s="1" t="s">
        <v>40</v>
      </c>
      <c r="F608" s="15">
        <v>575000</v>
      </c>
    </row>
    <row r="609" spans="3:6" x14ac:dyDescent="0.3">
      <c r="C609" s="1" t="s">
        <v>651</v>
      </c>
      <c r="D609" s="1" t="s">
        <v>68</v>
      </c>
      <c r="E609" s="1" t="s">
        <v>35</v>
      </c>
      <c r="F609" s="15">
        <v>574800</v>
      </c>
    </row>
    <row r="610" spans="3:6" x14ac:dyDescent="0.3">
      <c r="C610" s="1" t="s">
        <v>652</v>
      </c>
      <c r="D610" s="1" t="s">
        <v>12</v>
      </c>
      <c r="E610" s="1" t="s">
        <v>79</v>
      </c>
      <c r="F610" s="15">
        <v>574600</v>
      </c>
    </row>
    <row r="611" spans="3:6" x14ac:dyDescent="0.3">
      <c r="C611" s="1" t="s">
        <v>653</v>
      </c>
      <c r="D611" s="1" t="s">
        <v>156</v>
      </c>
      <c r="E611" s="1" t="s">
        <v>79</v>
      </c>
      <c r="F611" s="15">
        <v>574500</v>
      </c>
    </row>
    <row r="612" spans="3:6" x14ac:dyDescent="0.3">
      <c r="C612" s="1" t="s">
        <v>654</v>
      </c>
      <c r="D612" s="1" t="s">
        <v>18</v>
      </c>
      <c r="E612" s="1" t="s">
        <v>10</v>
      </c>
      <c r="F612" s="15">
        <v>574500</v>
      </c>
    </row>
    <row r="613" spans="3:6" x14ac:dyDescent="0.3">
      <c r="C613" s="1" t="s">
        <v>655</v>
      </c>
      <c r="D613" s="1" t="s">
        <v>37</v>
      </c>
      <c r="E613" s="1" t="s">
        <v>79</v>
      </c>
      <c r="F613" s="15">
        <v>573500</v>
      </c>
    </row>
    <row r="614" spans="3:6" x14ac:dyDescent="0.3">
      <c r="C614" s="1" t="s">
        <v>656</v>
      </c>
      <c r="D614" s="1" t="s">
        <v>156</v>
      </c>
      <c r="E614" s="1" t="s">
        <v>40</v>
      </c>
      <c r="F614" s="15">
        <v>573500</v>
      </c>
    </row>
    <row r="615" spans="3:6" x14ac:dyDescent="0.3">
      <c r="C615" s="1" t="s">
        <v>657</v>
      </c>
      <c r="D615" s="1" t="s">
        <v>34</v>
      </c>
      <c r="E615" s="1" t="s">
        <v>40</v>
      </c>
      <c r="F615" s="15">
        <v>573200</v>
      </c>
    </row>
    <row r="616" spans="3:6" x14ac:dyDescent="0.3">
      <c r="C616" s="1" t="s">
        <v>658</v>
      </c>
      <c r="D616" s="1" t="s">
        <v>63</v>
      </c>
      <c r="E616" s="1" t="s">
        <v>79</v>
      </c>
      <c r="F616" s="15">
        <v>573175</v>
      </c>
    </row>
    <row r="617" spans="3:6" x14ac:dyDescent="0.3">
      <c r="C617" s="1" t="s">
        <v>659</v>
      </c>
      <c r="D617" s="1" t="s">
        <v>106</v>
      </c>
      <c r="E617" s="1" t="s">
        <v>6</v>
      </c>
      <c r="F617" s="15">
        <v>573000</v>
      </c>
    </row>
    <row r="618" spans="3:6" x14ac:dyDescent="0.3">
      <c r="C618" s="1" t="s">
        <v>660</v>
      </c>
      <c r="D618" s="1" t="s">
        <v>61</v>
      </c>
      <c r="E618" s="1" t="s">
        <v>79</v>
      </c>
      <c r="F618" s="15">
        <v>572500</v>
      </c>
    </row>
    <row r="619" spans="3:6" x14ac:dyDescent="0.3">
      <c r="C619" s="1" t="s">
        <v>661</v>
      </c>
      <c r="D619" s="1" t="s">
        <v>9</v>
      </c>
      <c r="E619" s="1" t="s">
        <v>51</v>
      </c>
      <c r="F619" s="15">
        <v>572500</v>
      </c>
    </row>
    <row r="620" spans="3:6" x14ac:dyDescent="0.3">
      <c r="C620" s="1" t="s">
        <v>662</v>
      </c>
      <c r="D620" s="1" t="s">
        <v>124</v>
      </c>
      <c r="E620" s="1" t="s">
        <v>22</v>
      </c>
      <c r="F620" s="15">
        <v>572500</v>
      </c>
    </row>
    <row r="621" spans="3:6" x14ac:dyDescent="0.3">
      <c r="C621" s="1" t="s">
        <v>663</v>
      </c>
      <c r="D621" s="1" t="s">
        <v>124</v>
      </c>
      <c r="E621" s="1" t="s">
        <v>79</v>
      </c>
      <c r="F621" s="15">
        <v>572500</v>
      </c>
    </row>
    <row r="622" spans="3:6" x14ac:dyDescent="0.3">
      <c r="C622" s="1" t="s">
        <v>664</v>
      </c>
      <c r="D622" s="1" t="s">
        <v>21</v>
      </c>
      <c r="E622" s="1" t="s">
        <v>10</v>
      </c>
      <c r="F622" s="15">
        <v>571765</v>
      </c>
    </row>
    <row r="623" spans="3:6" x14ac:dyDescent="0.3">
      <c r="C623" s="1" t="s">
        <v>665</v>
      </c>
      <c r="D623" s="1" t="s">
        <v>74</v>
      </c>
      <c r="E623" s="1" t="s">
        <v>6</v>
      </c>
      <c r="F623" s="15">
        <v>571300</v>
      </c>
    </row>
    <row r="624" spans="3:6" x14ac:dyDescent="0.3">
      <c r="C624" s="1" t="s">
        <v>666</v>
      </c>
      <c r="D624" s="1" t="s">
        <v>106</v>
      </c>
      <c r="E624" s="1" t="s">
        <v>10</v>
      </c>
      <c r="F624" s="15">
        <v>571000</v>
      </c>
    </row>
    <row r="625" spans="3:6" x14ac:dyDescent="0.3">
      <c r="C625" s="1" t="s">
        <v>667</v>
      </c>
      <c r="D625" s="1" t="s">
        <v>106</v>
      </c>
      <c r="E625" s="1" t="s">
        <v>79</v>
      </c>
      <c r="F625" s="15">
        <v>571000</v>
      </c>
    </row>
    <row r="626" spans="3:6" x14ac:dyDescent="0.3">
      <c r="C626" s="1" t="s">
        <v>668</v>
      </c>
      <c r="D626" s="1" t="s">
        <v>18</v>
      </c>
      <c r="E626" s="1" t="s">
        <v>79</v>
      </c>
      <c r="F626" s="15">
        <v>570800</v>
      </c>
    </row>
    <row r="627" spans="3:6" x14ac:dyDescent="0.3">
      <c r="C627" s="1" t="s">
        <v>669</v>
      </c>
      <c r="D627" s="1" t="s">
        <v>118</v>
      </c>
      <c r="E627" s="1" t="s">
        <v>79</v>
      </c>
      <c r="F627" s="15">
        <v>570600</v>
      </c>
    </row>
    <row r="628" spans="3:6" x14ac:dyDescent="0.3">
      <c r="C628" s="1" t="s">
        <v>670</v>
      </c>
      <c r="D628" s="1" t="s">
        <v>68</v>
      </c>
      <c r="E628" s="1" t="s">
        <v>43</v>
      </c>
      <c r="F628" s="15">
        <v>570500</v>
      </c>
    </row>
    <row r="629" spans="3:6" x14ac:dyDescent="0.3">
      <c r="C629" s="1" t="s">
        <v>671</v>
      </c>
      <c r="D629" s="1" t="s">
        <v>55</v>
      </c>
      <c r="E629" s="1" t="s">
        <v>35</v>
      </c>
      <c r="F629" s="15">
        <v>570500</v>
      </c>
    </row>
    <row r="630" spans="3:6" x14ac:dyDescent="0.3">
      <c r="C630" s="1" t="s">
        <v>672</v>
      </c>
      <c r="D630" s="1" t="s">
        <v>118</v>
      </c>
      <c r="E630" s="1" t="s">
        <v>32</v>
      </c>
      <c r="F630" s="15">
        <v>570400</v>
      </c>
    </row>
    <row r="631" spans="3:6" x14ac:dyDescent="0.3">
      <c r="C631" s="1" t="s">
        <v>673</v>
      </c>
      <c r="D631" s="1" t="s">
        <v>118</v>
      </c>
      <c r="E631" s="1" t="s">
        <v>43</v>
      </c>
      <c r="F631" s="15">
        <v>570300</v>
      </c>
    </row>
    <row r="632" spans="3:6" x14ac:dyDescent="0.3">
      <c r="C632" s="1" t="s">
        <v>674</v>
      </c>
      <c r="D632" s="1" t="s">
        <v>78</v>
      </c>
      <c r="E632" s="1" t="s">
        <v>51</v>
      </c>
      <c r="F632" s="15">
        <v>570000</v>
      </c>
    </row>
    <row r="633" spans="3:6" x14ac:dyDescent="0.3">
      <c r="C633" s="1" t="s">
        <v>675</v>
      </c>
      <c r="D633" s="1" t="s">
        <v>16</v>
      </c>
      <c r="E633" s="1" t="s">
        <v>6</v>
      </c>
      <c r="F633" s="15">
        <v>570000</v>
      </c>
    </row>
    <row r="634" spans="3:6" x14ac:dyDescent="0.3">
      <c r="C634" s="1" t="s">
        <v>676</v>
      </c>
      <c r="D634" s="1" t="s">
        <v>61</v>
      </c>
      <c r="E634" s="1" t="s">
        <v>35</v>
      </c>
      <c r="F634" s="15">
        <v>570000</v>
      </c>
    </row>
    <row r="635" spans="3:6" x14ac:dyDescent="0.3">
      <c r="C635" s="1" t="s">
        <v>677</v>
      </c>
      <c r="D635" s="1" t="s">
        <v>39</v>
      </c>
      <c r="E635" s="1" t="s">
        <v>6</v>
      </c>
      <c r="F635" s="15">
        <v>570000</v>
      </c>
    </row>
    <row r="636" spans="3:6" x14ac:dyDescent="0.3">
      <c r="C636" s="1" t="s">
        <v>678</v>
      </c>
      <c r="D636" s="1" t="s">
        <v>39</v>
      </c>
      <c r="E636" s="1" t="s">
        <v>79</v>
      </c>
      <c r="F636" s="15">
        <v>570000</v>
      </c>
    </row>
    <row r="637" spans="3:6" x14ac:dyDescent="0.3">
      <c r="C637" s="1" t="s">
        <v>679</v>
      </c>
      <c r="D637" s="1" t="s">
        <v>78</v>
      </c>
      <c r="E637" s="1" t="s">
        <v>10</v>
      </c>
      <c r="F637" s="15">
        <v>570000</v>
      </c>
    </row>
    <row r="638" spans="3:6" x14ac:dyDescent="0.3">
      <c r="C638" s="1" t="s">
        <v>680</v>
      </c>
      <c r="D638" s="1" t="s">
        <v>78</v>
      </c>
      <c r="E638" s="1" t="s">
        <v>6</v>
      </c>
      <c r="F638" s="15">
        <v>570000</v>
      </c>
    </row>
    <row r="639" spans="3:6" x14ac:dyDescent="0.3">
      <c r="C639" s="1" t="s">
        <v>681</v>
      </c>
      <c r="D639" s="1" t="s">
        <v>66</v>
      </c>
      <c r="E639" s="1" t="s">
        <v>40</v>
      </c>
      <c r="F639" s="15">
        <v>569500</v>
      </c>
    </row>
    <row r="640" spans="3:6" x14ac:dyDescent="0.3">
      <c r="C640" s="1" t="s">
        <v>682</v>
      </c>
      <c r="D640" s="1" t="s">
        <v>29</v>
      </c>
      <c r="E640" s="1" t="s">
        <v>51</v>
      </c>
      <c r="F640" s="15">
        <v>569500</v>
      </c>
    </row>
    <row r="641" spans="3:6" x14ac:dyDescent="0.3">
      <c r="C641" s="1" t="s">
        <v>683</v>
      </c>
      <c r="D641" s="1" t="s">
        <v>66</v>
      </c>
      <c r="E641" s="1" t="s">
        <v>51</v>
      </c>
      <c r="F641" s="15">
        <v>569500</v>
      </c>
    </row>
    <row r="642" spans="3:6" x14ac:dyDescent="0.3">
      <c r="C642" s="1" t="s">
        <v>684</v>
      </c>
      <c r="D642" s="1" t="s">
        <v>74</v>
      </c>
      <c r="E642" s="1" t="s">
        <v>79</v>
      </c>
      <c r="F642" s="15">
        <v>569300</v>
      </c>
    </row>
    <row r="643" spans="3:6" x14ac:dyDescent="0.3">
      <c r="C643" s="1" t="s">
        <v>685</v>
      </c>
      <c r="D643" s="1" t="s">
        <v>18</v>
      </c>
      <c r="E643" s="1" t="s">
        <v>79</v>
      </c>
      <c r="F643" s="15">
        <v>569200</v>
      </c>
    </row>
    <row r="644" spans="3:6" x14ac:dyDescent="0.3">
      <c r="C644" s="1" t="s">
        <v>686</v>
      </c>
      <c r="D644" s="1" t="s">
        <v>61</v>
      </c>
      <c r="E644" s="1" t="s">
        <v>79</v>
      </c>
      <c r="F644" s="15">
        <v>569000</v>
      </c>
    </row>
    <row r="645" spans="3:6" x14ac:dyDescent="0.3">
      <c r="C645" s="1" t="s">
        <v>687</v>
      </c>
      <c r="D645" s="1" t="s">
        <v>106</v>
      </c>
      <c r="E645" s="1" t="s">
        <v>79</v>
      </c>
      <c r="F645" s="15">
        <v>569000</v>
      </c>
    </row>
    <row r="646" spans="3:6" x14ac:dyDescent="0.3">
      <c r="C646" s="1" t="s">
        <v>688</v>
      </c>
      <c r="D646" s="1" t="s">
        <v>9</v>
      </c>
      <c r="E646" s="1" t="s">
        <v>6</v>
      </c>
      <c r="F646" s="15">
        <v>569000</v>
      </c>
    </row>
    <row r="647" spans="3:6" x14ac:dyDescent="0.3">
      <c r="C647" s="1" t="s">
        <v>689</v>
      </c>
      <c r="D647" s="1" t="s">
        <v>9</v>
      </c>
      <c r="E647" s="1" t="s">
        <v>79</v>
      </c>
      <c r="F647" s="15">
        <v>569000</v>
      </c>
    </row>
    <row r="648" spans="3:6" x14ac:dyDescent="0.3">
      <c r="C648" s="1" t="s">
        <v>690</v>
      </c>
      <c r="D648" s="1" t="s">
        <v>156</v>
      </c>
      <c r="E648" s="1" t="s">
        <v>79</v>
      </c>
      <c r="F648" s="15">
        <v>569000</v>
      </c>
    </row>
    <row r="649" spans="3:6" x14ac:dyDescent="0.3">
      <c r="C649" s="1" t="s">
        <v>691</v>
      </c>
      <c r="D649" s="1" t="s">
        <v>156</v>
      </c>
      <c r="E649" s="1" t="s">
        <v>79</v>
      </c>
      <c r="F649" s="15">
        <v>569000</v>
      </c>
    </row>
    <row r="650" spans="3:6" x14ac:dyDescent="0.3">
      <c r="C650" s="1" t="s">
        <v>692</v>
      </c>
      <c r="D650" s="1" t="s">
        <v>124</v>
      </c>
      <c r="E650" s="1" t="s">
        <v>40</v>
      </c>
      <c r="F650" s="15">
        <v>568600</v>
      </c>
    </row>
    <row r="651" spans="3:6" x14ac:dyDescent="0.3">
      <c r="C651" s="1" t="s">
        <v>693</v>
      </c>
      <c r="D651" s="1" t="s">
        <v>27</v>
      </c>
      <c r="E651" s="1" t="s">
        <v>79</v>
      </c>
      <c r="F651" s="15">
        <v>568600</v>
      </c>
    </row>
    <row r="652" spans="3:6" x14ac:dyDescent="0.3">
      <c r="C652" s="1" t="s">
        <v>694</v>
      </c>
      <c r="D652" s="1" t="s">
        <v>14</v>
      </c>
      <c r="E652" s="1" t="s">
        <v>79</v>
      </c>
      <c r="F652" s="15">
        <v>568500</v>
      </c>
    </row>
    <row r="653" spans="3:6" x14ac:dyDescent="0.3">
      <c r="C653" s="1" t="s">
        <v>695</v>
      </c>
      <c r="D653" s="1" t="s">
        <v>91</v>
      </c>
      <c r="E653" s="1" t="s">
        <v>6</v>
      </c>
      <c r="F653" s="15">
        <v>568300</v>
      </c>
    </row>
    <row r="654" spans="3:6" x14ac:dyDescent="0.3">
      <c r="C654" s="1" t="s">
        <v>696</v>
      </c>
      <c r="D654" s="1" t="s">
        <v>216</v>
      </c>
      <c r="E654" s="1" t="s">
        <v>79</v>
      </c>
      <c r="F654" s="15">
        <v>568300</v>
      </c>
    </row>
    <row r="655" spans="3:6" x14ac:dyDescent="0.3">
      <c r="C655" s="1" t="s">
        <v>697</v>
      </c>
      <c r="D655" s="1" t="s">
        <v>63</v>
      </c>
      <c r="E655" s="1" t="s">
        <v>6</v>
      </c>
      <c r="F655" s="15">
        <v>568175</v>
      </c>
    </row>
    <row r="656" spans="3:6" x14ac:dyDescent="0.3">
      <c r="C656" s="1" t="s">
        <v>698</v>
      </c>
      <c r="D656" s="1" t="s">
        <v>21</v>
      </c>
      <c r="E656" s="1" t="s">
        <v>32</v>
      </c>
      <c r="F656" s="15">
        <v>567714</v>
      </c>
    </row>
    <row r="657" spans="3:6" x14ac:dyDescent="0.3">
      <c r="C657" s="1" t="s">
        <v>699</v>
      </c>
      <c r="D657" s="1" t="s">
        <v>91</v>
      </c>
      <c r="E657" s="1" t="s">
        <v>22</v>
      </c>
      <c r="F657" s="15">
        <v>567700</v>
      </c>
    </row>
    <row r="658" spans="3:6" x14ac:dyDescent="0.3">
      <c r="C658" s="1" t="s">
        <v>700</v>
      </c>
      <c r="D658" s="1" t="s">
        <v>12</v>
      </c>
      <c r="E658" s="1" t="s">
        <v>79</v>
      </c>
      <c r="F658" s="15">
        <v>567600</v>
      </c>
    </row>
    <row r="659" spans="3:6" x14ac:dyDescent="0.3">
      <c r="C659" s="1" t="s">
        <v>701</v>
      </c>
      <c r="D659" s="1" t="s">
        <v>91</v>
      </c>
      <c r="E659" s="1" t="s">
        <v>79</v>
      </c>
      <c r="F659" s="15">
        <v>567600</v>
      </c>
    </row>
    <row r="660" spans="3:6" x14ac:dyDescent="0.3">
      <c r="C660" s="1" t="s">
        <v>702</v>
      </c>
      <c r="D660" s="1" t="s">
        <v>39</v>
      </c>
      <c r="E660" s="1" t="s">
        <v>79</v>
      </c>
      <c r="F660" s="15">
        <v>567500</v>
      </c>
    </row>
    <row r="661" spans="3:6" x14ac:dyDescent="0.3">
      <c r="C661" s="1" t="s">
        <v>703</v>
      </c>
      <c r="D661" s="1" t="s">
        <v>61</v>
      </c>
      <c r="E661" s="1" t="s">
        <v>6</v>
      </c>
      <c r="F661" s="15">
        <v>567500</v>
      </c>
    </row>
    <row r="662" spans="3:6" x14ac:dyDescent="0.3">
      <c r="C662" s="1" t="s">
        <v>704</v>
      </c>
      <c r="D662" s="1" t="s">
        <v>49</v>
      </c>
      <c r="E662" s="1" t="s">
        <v>79</v>
      </c>
      <c r="F662" s="15">
        <v>567500</v>
      </c>
    </row>
    <row r="663" spans="3:6" x14ac:dyDescent="0.3">
      <c r="C663" s="1" t="s">
        <v>705</v>
      </c>
      <c r="D663" s="1" t="s">
        <v>9</v>
      </c>
      <c r="E663" s="1" t="s">
        <v>6</v>
      </c>
      <c r="F663" s="15">
        <v>567500</v>
      </c>
    </row>
    <row r="664" spans="3:6" x14ac:dyDescent="0.3">
      <c r="C664" s="1" t="s">
        <v>706</v>
      </c>
      <c r="D664" s="1" t="s">
        <v>49</v>
      </c>
      <c r="E664" s="1" t="s">
        <v>79</v>
      </c>
      <c r="F664" s="15">
        <v>567500</v>
      </c>
    </row>
    <row r="665" spans="3:6" x14ac:dyDescent="0.3">
      <c r="C665" s="1" t="s">
        <v>707</v>
      </c>
      <c r="D665" s="1" t="s">
        <v>18</v>
      </c>
      <c r="E665" s="1" t="s">
        <v>79</v>
      </c>
      <c r="F665" s="15">
        <v>567400</v>
      </c>
    </row>
    <row r="666" spans="3:6" x14ac:dyDescent="0.3">
      <c r="C666" s="1" t="s">
        <v>708</v>
      </c>
      <c r="D666" s="1" t="s">
        <v>63</v>
      </c>
      <c r="E666" s="1" t="s">
        <v>32</v>
      </c>
      <c r="F666" s="15">
        <v>567225</v>
      </c>
    </row>
    <row r="667" spans="3:6" x14ac:dyDescent="0.3">
      <c r="C667" s="1" t="s">
        <v>709</v>
      </c>
      <c r="D667" s="1" t="s">
        <v>18</v>
      </c>
      <c r="E667" s="1" t="s">
        <v>10</v>
      </c>
      <c r="F667" s="15">
        <v>567100</v>
      </c>
    </row>
    <row r="668" spans="3:6" x14ac:dyDescent="0.3">
      <c r="C668" s="1" t="s">
        <v>710</v>
      </c>
      <c r="D668" s="1" t="s">
        <v>18</v>
      </c>
      <c r="E668" s="1" t="s">
        <v>51</v>
      </c>
      <c r="F668" s="15">
        <v>567100</v>
      </c>
    </row>
    <row r="669" spans="3:6" x14ac:dyDescent="0.3">
      <c r="C669" s="1" t="s">
        <v>711</v>
      </c>
      <c r="D669" s="1" t="s">
        <v>106</v>
      </c>
      <c r="E669" s="1" t="s">
        <v>22</v>
      </c>
      <c r="F669" s="15">
        <v>567000</v>
      </c>
    </row>
    <row r="670" spans="3:6" x14ac:dyDescent="0.3">
      <c r="C670" s="1" t="s">
        <v>712</v>
      </c>
      <c r="D670" s="1" t="s">
        <v>24</v>
      </c>
      <c r="E670" s="1" t="s">
        <v>79</v>
      </c>
      <c r="F670" s="15">
        <v>566800</v>
      </c>
    </row>
    <row r="671" spans="3:6" x14ac:dyDescent="0.3">
      <c r="C671" s="1" t="s">
        <v>713</v>
      </c>
      <c r="D671" s="1" t="s">
        <v>118</v>
      </c>
      <c r="E671" s="1" t="s">
        <v>6</v>
      </c>
      <c r="F671" s="15">
        <v>566700</v>
      </c>
    </row>
    <row r="672" spans="3:6" x14ac:dyDescent="0.3">
      <c r="C672" s="1" t="s">
        <v>714</v>
      </c>
      <c r="D672" s="1" t="s">
        <v>55</v>
      </c>
      <c r="E672" s="1" t="s">
        <v>6</v>
      </c>
      <c r="F672" s="15">
        <v>566700</v>
      </c>
    </row>
    <row r="673" spans="3:6" x14ac:dyDescent="0.3">
      <c r="C673" s="1" t="s">
        <v>715</v>
      </c>
      <c r="D673" s="1" t="s">
        <v>24</v>
      </c>
      <c r="E673" s="1" t="s">
        <v>79</v>
      </c>
      <c r="F673" s="15">
        <v>566600</v>
      </c>
    </row>
    <row r="674" spans="3:6" x14ac:dyDescent="0.3">
      <c r="C674" s="1" t="s">
        <v>716</v>
      </c>
      <c r="D674" s="1" t="s">
        <v>18</v>
      </c>
      <c r="E674" s="1" t="s">
        <v>79</v>
      </c>
      <c r="F674" s="15">
        <v>566600</v>
      </c>
    </row>
    <row r="675" spans="3:6" x14ac:dyDescent="0.3">
      <c r="C675" s="1" t="s">
        <v>717</v>
      </c>
      <c r="D675" s="1" t="s">
        <v>91</v>
      </c>
      <c r="E675" s="1" t="s">
        <v>111</v>
      </c>
      <c r="F675" s="15">
        <v>565700</v>
      </c>
    </row>
    <row r="676" spans="3:6" x14ac:dyDescent="0.3">
      <c r="C676" s="1" t="s">
        <v>718</v>
      </c>
      <c r="D676" s="1" t="s">
        <v>156</v>
      </c>
      <c r="E676" s="1" t="s">
        <v>22</v>
      </c>
      <c r="F676" s="15">
        <v>565500</v>
      </c>
    </row>
    <row r="677" spans="3:6" x14ac:dyDescent="0.3">
      <c r="C677" s="1" t="s">
        <v>719</v>
      </c>
      <c r="D677" s="1" t="s">
        <v>216</v>
      </c>
      <c r="E677" s="1" t="s">
        <v>6</v>
      </c>
      <c r="F677" s="15">
        <v>565200</v>
      </c>
    </row>
    <row r="678" spans="3:6" x14ac:dyDescent="0.3">
      <c r="C678" s="1" t="s">
        <v>720</v>
      </c>
      <c r="D678" s="1" t="s">
        <v>55</v>
      </c>
      <c r="E678" s="1" t="s">
        <v>6</v>
      </c>
      <c r="F678" s="15">
        <v>565100</v>
      </c>
    </row>
    <row r="679" spans="3:6" x14ac:dyDescent="0.3">
      <c r="C679" s="1" t="s">
        <v>721</v>
      </c>
      <c r="D679" s="1" t="s">
        <v>27</v>
      </c>
      <c r="E679" s="1" t="s">
        <v>32</v>
      </c>
      <c r="F679" s="15">
        <v>565000</v>
      </c>
    </row>
    <row r="680" spans="3:6" x14ac:dyDescent="0.3">
      <c r="C680" s="1" t="s">
        <v>722</v>
      </c>
      <c r="D680" s="1" t="s">
        <v>16</v>
      </c>
      <c r="E680" s="1" t="s">
        <v>79</v>
      </c>
      <c r="F680" s="15">
        <v>565000</v>
      </c>
    </row>
    <row r="681" spans="3:6" x14ac:dyDescent="0.3">
      <c r="C681" s="1" t="s">
        <v>723</v>
      </c>
      <c r="D681" s="1" t="s">
        <v>47</v>
      </c>
      <c r="E681" s="1" t="s">
        <v>79</v>
      </c>
      <c r="F681" s="15">
        <v>565000</v>
      </c>
    </row>
    <row r="682" spans="3:6" x14ac:dyDescent="0.3">
      <c r="C682" s="1" t="s">
        <v>724</v>
      </c>
      <c r="D682" s="1" t="s">
        <v>31</v>
      </c>
      <c r="E682" s="1" t="s">
        <v>6</v>
      </c>
      <c r="F682" s="15">
        <v>565000</v>
      </c>
    </row>
    <row r="683" spans="3:6" x14ac:dyDescent="0.3">
      <c r="C683" s="1" t="s">
        <v>725</v>
      </c>
      <c r="D683" s="1" t="s">
        <v>16</v>
      </c>
      <c r="E683" s="1" t="s">
        <v>6</v>
      </c>
      <c r="F683" s="15">
        <v>565000</v>
      </c>
    </row>
    <row r="684" spans="3:6" x14ac:dyDescent="0.3">
      <c r="C684" s="1" t="s">
        <v>726</v>
      </c>
      <c r="D684" s="1" t="s">
        <v>47</v>
      </c>
      <c r="E684" s="1" t="s">
        <v>6</v>
      </c>
      <c r="F684" s="15">
        <v>565000</v>
      </c>
    </row>
    <row r="685" spans="3:6" x14ac:dyDescent="0.3">
      <c r="C685" s="1" t="s">
        <v>727</v>
      </c>
      <c r="D685" s="1" t="s">
        <v>47</v>
      </c>
      <c r="E685" s="1" t="s">
        <v>6</v>
      </c>
      <c r="F685" s="15">
        <v>565000</v>
      </c>
    </row>
    <row r="686" spans="3:6" x14ac:dyDescent="0.3">
      <c r="C686" s="1" t="s">
        <v>728</v>
      </c>
      <c r="D686" s="1" t="s">
        <v>47</v>
      </c>
      <c r="E686" s="1" t="s">
        <v>79</v>
      </c>
      <c r="F686" s="15">
        <v>565000</v>
      </c>
    </row>
    <row r="687" spans="3:6" x14ac:dyDescent="0.3">
      <c r="C687" s="1" t="s">
        <v>729</v>
      </c>
      <c r="D687" s="1" t="s">
        <v>47</v>
      </c>
      <c r="E687" s="1" t="s">
        <v>79</v>
      </c>
      <c r="F687" s="15">
        <v>565000</v>
      </c>
    </row>
    <row r="688" spans="3:6" x14ac:dyDescent="0.3">
      <c r="C688" s="1" t="s">
        <v>730</v>
      </c>
      <c r="D688" s="1" t="s">
        <v>31</v>
      </c>
      <c r="E688" s="1" t="s">
        <v>6</v>
      </c>
      <c r="F688" s="15">
        <v>565000</v>
      </c>
    </row>
    <row r="689" spans="3:6" x14ac:dyDescent="0.3">
      <c r="C689" s="1" t="s">
        <v>731</v>
      </c>
      <c r="D689" s="1" t="s">
        <v>102</v>
      </c>
      <c r="E689" s="1" t="s">
        <v>40</v>
      </c>
      <c r="F689" s="15">
        <v>565000</v>
      </c>
    </row>
    <row r="690" spans="3:6" x14ac:dyDescent="0.3">
      <c r="C690" s="1" t="s">
        <v>732</v>
      </c>
      <c r="D690" s="1" t="s">
        <v>78</v>
      </c>
      <c r="E690" s="1" t="s">
        <v>79</v>
      </c>
      <c r="F690" s="15">
        <v>565000</v>
      </c>
    </row>
    <row r="691" spans="3:6" x14ac:dyDescent="0.3">
      <c r="C691" s="1" t="s">
        <v>733</v>
      </c>
      <c r="D691" s="1" t="s">
        <v>102</v>
      </c>
      <c r="E691" s="1" t="s">
        <v>6</v>
      </c>
      <c r="F691" s="15">
        <v>565000</v>
      </c>
    </row>
    <row r="692" spans="3:6" x14ac:dyDescent="0.3">
      <c r="C692" s="1" t="s">
        <v>734</v>
      </c>
      <c r="D692" s="1" t="s">
        <v>37</v>
      </c>
      <c r="E692" s="1" t="s">
        <v>51</v>
      </c>
      <c r="F692" s="15">
        <v>565000</v>
      </c>
    </row>
    <row r="693" spans="3:6" x14ac:dyDescent="0.3">
      <c r="C693" s="1" t="s">
        <v>735</v>
      </c>
      <c r="D693" s="1" t="s">
        <v>102</v>
      </c>
      <c r="E693" s="1" t="s">
        <v>79</v>
      </c>
      <c r="F693" s="15">
        <v>565000</v>
      </c>
    </row>
    <row r="694" spans="3:6" x14ac:dyDescent="0.3">
      <c r="C694" s="1" t="s">
        <v>736</v>
      </c>
      <c r="D694" s="1" t="s">
        <v>16</v>
      </c>
      <c r="E694" s="1" t="s">
        <v>79</v>
      </c>
      <c r="F694" s="15">
        <v>565000</v>
      </c>
    </row>
    <row r="695" spans="3:6" x14ac:dyDescent="0.3">
      <c r="C695" s="1" t="s">
        <v>737</v>
      </c>
      <c r="D695" s="1" t="s">
        <v>39</v>
      </c>
      <c r="E695" s="1" t="s">
        <v>6</v>
      </c>
      <c r="F695" s="15">
        <v>565000</v>
      </c>
    </row>
    <row r="696" spans="3:6" x14ac:dyDescent="0.3">
      <c r="C696" s="1" t="s">
        <v>738</v>
      </c>
      <c r="D696" s="1" t="s">
        <v>74</v>
      </c>
      <c r="E696" s="1" t="s">
        <v>6</v>
      </c>
      <c r="F696" s="15">
        <v>564600</v>
      </c>
    </row>
    <row r="697" spans="3:6" x14ac:dyDescent="0.3">
      <c r="C697" s="1" t="s">
        <v>739</v>
      </c>
      <c r="D697" s="1" t="s">
        <v>91</v>
      </c>
      <c r="E697" s="1" t="s">
        <v>6</v>
      </c>
      <c r="F697" s="15">
        <v>564600</v>
      </c>
    </row>
    <row r="698" spans="3:6" x14ac:dyDescent="0.3">
      <c r="C698" s="1" t="s">
        <v>740</v>
      </c>
      <c r="D698" s="1" t="s">
        <v>68</v>
      </c>
      <c r="E698" s="1" t="s">
        <v>22</v>
      </c>
      <c r="F698" s="15">
        <v>564500</v>
      </c>
    </row>
    <row r="699" spans="3:6" x14ac:dyDescent="0.3">
      <c r="C699" s="1" t="s">
        <v>741</v>
      </c>
      <c r="D699" s="1" t="s">
        <v>5</v>
      </c>
      <c r="E699" s="1" t="s">
        <v>79</v>
      </c>
      <c r="F699" s="15">
        <v>564300</v>
      </c>
    </row>
    <row r="700" spans="3:6" x14ac:dyDescent="0.3">
      <c r="C700" s="1" t="s">
        <v>742</v>
      </c>
      <c r="D700" s="1" t="s">
        <v>118</v>
      </c>
      <c r="E700" s="1" t="s">
        <v>79</v>
      </c>
      <c r="F700" s="15">
        <v>564200</v>
      </c>
    </row>
    <row r="701" spans="3:6" x14ac:dyDescent="0.3">
      <c r="C701" s="1" t="s">
        <v>743</v>
      </c>
      <c r="D701" s="1" t="s">
        <v>74</v>
      </c>
      <c r="E701" s="1" t="s">
        <v>32</v>
      </c>
      <c r="F701" s="15">
        <v>564100</v>
      </c>
    </row>
    <row r="702" spans="3:6" x14ac:dyDescent="0.3">
      <c r="C702" s="1" t="s">
        <v>744</v>
      </c>
      <c r="D702" s="1" t="s">
        <v>14</v>
      </c>
      <c r="E702" s="1" t="s">
        <v>32</v>
      </c>
      <c r="F702" s="15">
        <v>564000</v>
      </c>
    </row>
    <row r="703" spans="3:6" x14ac:dyDescent="0.3">
      <c r="C703" s="1" t="s">
        <v>745</v>
      </c>
      <c r="D703" s="1" t="s">
        <v>37</v>
      </c>
      <c r="E703" s="1" t="s">
        <v>79</v>
      </c>
      <c r="F703" s="15">
        <v>564000</v>
      </c>
    </row>
    <row r="704" spans="3:6" x14ac:dyDescent="0.3">
      <c r="C704" s="1" t="s">
        <v>746</v>
      </c>
      <c r="D704" s="1" t="s">
        <v>156</v>
      </c>
      <c r="E704" s="1" t="s">
        <v>51</v>
      </c>
      <c r="F704" s="15">
        <v>564000</v>
      </c>
    </row>
    <row r="705" spans="3:6" x14ac:dyDescent="0.3">
      <c r="C705" s="1" t="s">
        <v>747</v>
      </c>
      <c r="D705" s="1" t="s">
        <v>74</v>
      </c>
      <c r="E705" s="1" t="s">
        <v>22</v>
      </c>
      <c r="F705" s="15">
        <v>564000</v>
      </c>
    </row>
    <row r="706" spans="3:6" x14ac:dyDescent="0.3">
      <c r="C706" s="1" t="s">
        <v>748</v>
      </c>
      <c r="D706" s="1" t="s">
        <v>29</v>
      </c>
      <c r="E706" s="1" t="s">
        <v>79</v>
      </c>
      <c r="F706" s="15">
        <v>564000</v>
      </c>
    </row>
    <row r="707" spans="3:6" x14ac:dyDescent="0.3">
      <c r="C707" s="1" t="s">
        <v>749</v>
      </c>
      <c r="D707" s="1" t="s">
        <v>68</v>
      </c>
      <c r="E707" s="1" t="s">
        <v>79</v>
      </c>
      <c r="F707" s="15">
        <v>563800</v>
      </c>
    </row>
    <row r="708" spans="3:6" x14ac:dyDescent="0.3">
      <c r="C708" s="1" t="s">
        <v>750</v>
      </c>
      <c r="D708" s="1" t="s">
        <v>91</v>
      </c>
      <c r="E708" s="1" t="s">
        <v>79</v>
      </c>
      <c r="F708" s="15">
        <v>563800</v>
      </c>
    </row>
    <row r="709" spans="3:6" x14ac:dyDescent="0.3">
      <c r="C709" s="1" t="s">
        <v>751</v>
      </c>
      <c r="D709" s="1" t="s">
        <v>74</v>
      </c>
      <c r="E709" s="1" t="s">
        <v>79</v>
      </c>
      <c r="F709" s="15">
        <v>563700</v>
      </c>
    </row>
    <row r="710" spans="3:6" x14ac:dyDescent="0.3">
      <c r="C710" s="1" t="s">
        <v>752</v>
      </c>
      <c r="D710" s="1" t="s">
        <v>61</v>
      </c>
      <c r="E710" s="1" t="s">
        <v>51</v>
      </c>
      <c r="F710" s="15">
        <v>563500</v>
      </c>
    </row>
    <row r="711" spans="3:6" x14ac:dyDescent="0.3">
      <c r="C711" s="1" t="s">
        <v>753</v>
      </c>
      <c r="D711" s="1" t="s">
        <v>61</v>
      </c>
      <c r="E711" s="1" t="s">
        <v>6</v>
      </c>
      <c r="F711" s="15">
        <v>563500</v>
      </c>
    </row>
    <row r="712" spans="3:6" x14ac:dyDescent="0.3">
      <c r="C712" s="1" t="s">
        <v>754</v>
      </c>
      <c r="D712" s="1" t="s">
        <v>9</v>
      </c>
      <c r="E712" s="1" t="s">
        <v>79</v>
      </c>
      <c r="F712" s="15">
        <v>563500</v>
      </c>
    </row>
    <row r="713" spans="3:6" x14ac:dyDescent="0.3">
      <c r="C713" s="1" t="s">
        <v>755</v>
      </c>
      <c r="D713" s="1" t="s">
        <v>118</v>
      </c>
      <c r="E713" s="1" t="s">
        <v>6</v>
      </c>
      <c r="F713" s="15">
        <v>563400</v>
      </c>
    </row>
    <row r="714" spans="3:6" x14ac:dyDescent="0.3">
      <c r="C714" s="1" t="s">
        <v>756</v>
      </c>
      <c r="D714" s="1" t="s">
        <v>55</v>
      </c>
      <c r="E714" s="1" t="s">
        <v>79</v>
      </c>
      <c r="F714" s="15">
        <v>562900</v>
      </c>
    </row>
    <row r="715" spans="3:6" x14ac:dyDescent="0.3">
      <c r="C715" s="1" t="s">
        <v>757</v>
      </c>
      <c r="D715" s="1" t="s">
        <v>91</v>
      </c>
      <c r="E715" s="1" t="s">
        <v>6</v>
      </c>
      <c r="F715" s="15">
        <v>562800</v>
      </c>
    </row>
    <row r="716" spans="3:6" x14ac:dyDescent="0.3">
      <c r="C716" s="1" t="s">
        <v>758</v>
      </c>
      <c r="D716" s="1" t="s">
        <v>216</v>
      </c>
      <c r="E716" s="1" t="s">
        <v>22</v>
      </c>
      <c r="F716" s="15">
        <v>562800</v>
      </c>
    </row>
    <row r="717" spans="3:6" x14ac:dyDescent="0.3">
      <c r="C717" s="1" t="s">
        <v>759</v>
      </c>
      <c r="D717" s="1" t="s">
        <v>55</v>
      </c>
      <c r="E717" s="1" t="s">
        <v>6</v>
      </c>
      <c r="F717" s="15">
        <v>562500</v>
      </c>
    </row>
    <row r="718" spans="3:6" x14ac:dyDescent="0.3">
      <c r="C718" s="1" t="s">
        <v>760</v>
      </c>
      <c r="D718" s="1" t="s">
        <v>5</v>
      </c>
      <c r="E718" s="1" t="s">
        <v>79</v>
      </c>
      <c r="F718" s="15">
        <v>562500</v>
      </c>
    </row>
    <row r="719" spans="3:6" x14ac:dyDescent="0.3">
      <c r="C719" s="1" t="s">
        <v>761</v>
      </c>
      <c r="D719" s="1" t="s">
        <v>118</v>
      </c>
      <c r="E719" s="1" t="s">
        <v>111</v>
      </c>
      <c r="F719" s="15">
        <v>562400</v>
      </c>
    </row>
    <row r="720" spans="3:6" x14ac:dyDescent="0.3">
      <c r="C720" s="1" t="s">
        <v>762</v>
      </c>
      <c r="D720" s="1" t="s">
        <v>27</v>
      </c>
      <c r="E720" s="1" t="s">
        <v>79</v>
      </c>
      <c r="F720" s="15">
        <v>562300</v>
      </c>
    </row>
    <row r="721" spans="3:6" x14ac:dyDescent="0.3">
      <c r="C721" s="1" t="s">
        <v>763</v>
      </c>
      <c r="D721" s="1" t="s">
        <v>63</v>
      </c>
      <c r="E721" s="1" t="s">
        <v>6</v>
      </c>
      <c r="F721" s="15">
        <v>562250</v>
      </c>
    </row>
    <row r="722" spans="3:6" x14ac:dyDescent="0.3">
      <c r="C722" s="1" t="s">
        <v>764</v>
      </c>
      <c r="D722" s="1" t="s">
        <v>74</v>
      </c>
      <c r="E722" s="1" t="s">
        <v>6</v>
      </c>
      <c r="F722" s="15">
        <v>562100</v>
      </c>
    </row>
    <row r="723" spans="3:6" x14ac:dyDescent="0.3">
      <c r="C723" s="1" t="s">
        <v>765</v>
      </c>
      <c r="D723" s="1" t="s">
        <v>61</v>
      </c>
      <c r="E723" s="1" t="s">
        <v>32</v>
      </c>
      <c r="F723" s="15">
        <v>562000</v>
      </c>
    </row>
    <row r="724" spans="3:6" x14ac:dyDescent="0.3">
      <c r="C724" s="1" t="s">
        <v>766</v>
      </c>
      <c r="D724" s="1" t="s">
        <v>74</v>
      </c>
      <c r="E724" s="1" t="s">
        <v>111</v>
      </c>
      <c r="F724" s="15">
        <v>562000</v>
      </c>
    </row>
    <row r="725" spans="3:6" x14ac:dyDescent="0.3">
      <c r="C725" s="1" t="s">
        <v>767</v>
      </c>
      <c r="D725" s="1" t="s">
        <v>216</v>
      </c>
      <c r="E725" s="1" t="s">
        <v>111</v>
      </c>
      <c r="F725" s="15">
        <v>562000</v>
      </c>
    </row>
    <row r="726" spans="3:6" x14ac:dyDescent="0.3">
      <c r="C726" s="1" t="s">
        <v>768</v>
      </c>
      <c r="D726" s="1" t="s">
        <v>118</v>
      </c>
      <c r="E726" s="1" t="s">
        <v>6</v>
      </c>
      <c r="F726" s="15">
        <v>561800</v>
      </c>
    </row>
    <row r="727" spans="3:6" x14ac:dyDescent="0.3">
      <c r="C727" s="1" t="s">
        <v>769</v>
      </c>
      <c r="D727" s="1" t="s">
        <v>29</v>
      </c>
      <c r="E727" s="1" t="s">
        <v>32</v>
      </c>
      <c r="F727" s="15">
        <v>561500</v>
      </c>
    </row>
    <row r="728" spans="3:6" x14ac:dyDescent="0.3">
      <c r="C728" s="1" t="s">
        <v>770</v>
      </c>
      <c r="D728" s="1" t="s">
        <v>9</v>
      </c>
      <c r="E728" s="1" t="s">
        <v>111</v>
      </c>
      <c r="F728" s="15">
        <v>561500</v>
      </c>
    </row>
    <row r="729" spans="3:6" x14ac:dyDescent="0.3">
      <c r="C729" s="1" t="s">
        <v>771</v>
      </c>
      <c r="D729" s="1" t="s">
        <v>9</v>
      </c>
      <c r="E729" s="1" t="s">
        <v>79</v>
      </c>
      <c r="F729" s="15">
        <v>561500</v>
      </c>
    </row>
    <row r="730" spans="3:6" x14ac:dyDescent="0.3">
      <c r="C730" s="1" t="s">
        <v>772</v>
      </c>
      <c r="D730" s="1" t="s">
        <v>118</v>
      </c>
      <c r="E730" s="1" t="s">
        <v>79</v>
      </c>
      <c r="F730" s="15">
        <v>561500</v>
      </c>
    </row>
    <row r="731" spans="3:6" x14ac:dyDescent="0.3">
      <c r="C731" s="1" t="s">
        <v>773</v>
      </c>
      <c r="D731" s="1" t="s">
        <v>21</v>
      </c>
      <c r="E731" s="1" t="s">
        <v>32</v>
      </c>
      <c r="F731" s="15">
        <v>561420</v>
      </c>
    </row>
    <row r="732" spans="3:6" x14ac:dyDescent="0.3">
      <c r="C732" s="1" t="s">
        <v>774</v>
      </c>
      <c r="D732" s="1" t="s">
        <v>91</v>
      </c>
      <c r="E732" s="1" t="s">
        <v>6</v>
      </c>
      <c r="F732" s="15">
        <v>561400</v>
      </c>
    </row>
    <row r="733" spans="3:6" x14ac:dyDescent="0.3">
      <c r="C733" s="1" t="s">
        <v>775</v>
      </c>
      <c r="D733" s="1" t="s">
        <v>49</v>
      </c>
      <c r="E733" s="1" t="s">
        <v>6</v>
      </c>
      <c r="F733" s="15">
        <v>561250</v>
      </c>
    </row>
    <row r="734" spans="3:6" x14ac:dyDescent="0.3">
      <c r="C734" s="1" t="s">
        <v>776</v>
      </c>
      <c r="D734" s="1" t="s">
        <v>68</v>
      </c>
      <c r="E734" s="1" t="s">
        <v>10</v>
      </c>
      <c r="F734" s="15">
        <v>561200</v>
      </c>
    </row>
    <row r="735" spans="3:6" x14ac:dyDescent="0.3">
      <c r="C735" s="1" t="s">
        <v>777</v>
      </c>
      <c r="D735" s="1" t="s">
        <v>55</v>
      </c>
      <c r="E735" s="1" t="s">
        <v>35</v>
      </c>
      <c r="F735" s="15">
        <v>561000</v>
      </c>
    </row>
    <row r="736" spans="3:6" x14ac:dyDescent="0.3">
      <c r="C736" s="1" t="s">
        <v>778</v>
      </c>
      <c r="D736" s="1" t="s">
        <v>68</v>
      </c>
      <c r="E736" s="1" t="s">
        <v>79</v>
      </c>
      <c r="F736" s="15">
        <v>560900</v>
      </c>
    </row>
    <row r="737" spans="3:6" x14ac:dyDescent="0.3">
      <c r="C737" s="1" t="s">
        <v>779</v>
      </c>
      <c r="D737" s="1" t="s">
        <v>118</v>
      </c>
      <c r="E737" s="1" t="s">
        <v>79</v>
      </c>
      <c r="F737" s="15">
        <v>560800</v>
      </c>
    </row>
    <row r="738" spans="3:6" x14ac:dyDescent="0.3">
      <c r="C738" s="1" t="s">
        <v>780</v>
      </c>
      <c r="D738" s="1" t="s">
        <v>68</v>
      </c>
      <c r="E738" s="1" t="s">
        <v>64</v>
      </c>
      <c r="F738" s="15">
        <v>560400</v>
      </c>
    </row>
    <row r="739" spans="3:6" x14ac:dyDescent="0.3">
      <c r="C739" s="1" t="s">
        <v>781</v>
      </c>
      <c r="D739" s="1" t="s">
        <v>68</v>
      </c>
      <c r="E739" s="1" t="s">
        <v>22</v>
      </c>
      <c r="F739" s="15">
        <v>560400</v>
      </c>
    </row>
    <row r="740" spans="3:6" x14ac:dyDescent="0.3">
      <c r="C740" s="1" t="s">
        <v>782</v>
      </c>
      <c r="D740" s="1" t="s">
        <v>55</v>
      </c>
      <c r="E740" s="1" t="s">
        <v>79</v>
      </c>
      <c r="F740" s="15">
        <v>560400</v>
      </c>
    </row>
    <row r="741" spans="3:6" x14ac:dyDescent="0.3">
      <c r="C741" s="1" t="s">
        <v>783</v>
      </c>
      <c r="D741" s="1" t="s">
        <v>118</v>
      </c>
      <c r="E741" s="1" t="s">
        <v>79</v>
      </c>
      <c r="F741" s="15">
        <v>560400</v>
      </c>
    </row>
    <row r="742" spans="3:6" x14ac:dyDescent="0.3">
      <c r="C742" s="1" t="s">
        <v>784</v>
      </c>
      <c r="D742" s="1" t="s">
        <v>55</v>
      </c>
      <c r="E742" s="1" t="s">
        <v>79</v>
      </c>
      <c r="F742" s="15">
        <v>560300</v>
      </c>
    </row>
    <row r="743" spans="3:6" x14ac:dyDescent="0.3">
      <c r="C743" s="1" t="s">
        <v>785</v>
      </c>
      <c r="D743" s="1" t="s">
        <v>55</v>
      </c>
      <c r="E743" s="1" t="s">
        <v>10</v>
      </c>
      <c r="F743" s="15">
        <v>560100</v>
      </c>
    </row>
    <row r="744" spans="3:6" x14ac:dyDescent="0.3">
      <c r="C744" s="1" t="s">
        <v>786</v>
      </c>
      <c r="D744" s="1" t="s">
        <v>61</v>
      </c>
      <c r="E744" s="1" t="s">
        <v>22</v>
      </c>
      <c r="F744" s="15">
        <v>560100</v>
      </c>
    </row>
    <row r="745" spans="3:6" x14ac:dyDescent="0.3">
      <c r="C745" s="1" t="s">
        <v>787</v>
      </c>
      <c r="D745" s="1" t="s">
        <v>216</v>
      </c>
      <c r="E745" s="1" t="s">
        <v>79</v>
      </c>
      <c r="F745" s="15">
        <v>560100</v>
      </c>
    </row>
    <row r="746" spans="3:6" x14ac:dyDescent="0.3">
      <c r="C746" s="1" t="s">
        <v>788</v>
      </c>
      <c r="D746" s="1" t="s">
        <v>47</v>
      </c>
      <c r="E746" s="1" t="s">
        <v>64</v>
      </c>
      <c r="F746" s="15">
        <v>560000</v>
      </c>
    </row>
    <row r="747" spans="3:6" x14ac:dyDescent="0.3">
      <c r="C747" s="1" t="s">
        <v>789</v>
      </c>
      <c r="D747" s="1" t="s">
        <v>12</v>
      </c>
      <c r="E747" s="1" t="s">
        <v>51</v>
      </c>
      <c r="F747" s="15">
        <v>560000</v>
      </c>
    </row>
    <row r="748" spans="3:6" x14ac:dyDescent="0.3">
      <c r="C748" s="1" t="s">
        <v>790</v>
      </c>
      <c r="D748" s="1" t="s">
        <v>31</v>
      </c>
      <c r="E748" s="1" t="s">
        <v>64</v>
      </c>
      <c r="F748" s="15">
        <v>560000</v>
      </c>
    </row>
    <row r="749" spans="3:6" x14ac:dyDescent="0.3">
      <c r="C749" s="1" t="s">
        <v>791</v>
      </c>
      <c r="D749" s="1" t="s">
        <v>31</v>
      </c>
      <c r="E749" s="1" t="s">
        <v>43</v>
      </c>
      <c r="F749" s="15">
        <v>560000</v>
      </c>
    </row>
    <row r="750" spans="3:6" x14ac:dyDescent="0.3">
      <c r="C750" s="1" t="s">
        <v>792</v>
      </c>
      <c r="D750" s="1" t="s">
        <v>31</v>
      </c>
      <c r="E750" s="1" t="s">
        <v>22</v>
      </c>
      <c r="F750" s="15">
        <v>560000</v>
      </c>
    </row>
    <row r="751" spans="3:6" x14ac:dyDescent="0.3">
      <c r="C751" s="1" t="s">
        <v>793</v>
      </c>
      <c r="D751" s="1" t="s">
        <v>31</v>
      </c>
      <c r="E751" s="1" t="s">
        <v>6</v>
      </c>
      <c r="F751" s="15">
        <v>560000</v>
      </c>
    </row>
    <row r="752" spans="3:6" x14ac:dyDescent="0.3">
      <c r="C752" s="1" t="s">
        <v>794</v>
      </c>
      <c r="D752" s="1" t="s">
        <v>106</v>
      </c>
      <c r="E752" s="1" t="s">
        <v>111</v>
      </c>
      <c r="F752" s="15">
        <v>560000</v>
      </c>
    </row>
    <row r="753" spans="3:6" x14ac:dyDescent="0.3">
      <c r="C753" s="1" t="s">
        <v>795</v>
      </c>
      <c r="D753" s="1" t="s">
        <v>16</v>
      </c>
      <c r="E753" s="1" t="s">
        <v>22</v>
      </c>
      <c r="F753" s="15">
        <v>560000</v>
      </c>
    </row>
    <row r="754" spans="3:6" x14ac:dyDescent="0.3">
      <c r="C754" s="1" t="s">
        <v>796</v>
      </c>
      <c r="D754" s="1" t="s">
        <v>16</v>
      </c>
      <c r="E754" s="1" t="s">
        <v>79</v>
      </c>
      <c r="F754" s="15">
        <v>560000</v>
      </c>
    </row>
    <row r="755" spans="3:6" x14ac:dyDescent="0.3">
      <c r="C755" s="1" t="s">
        <v>797</v>
      </c>
      <c r="D755" s="1" t="s">
        <v>78</v>
      </c>
      <c r="E755" s="1" t="s">
        <v>111</v>
      </c>
      <c r="F755" s="15">
        <v>560000</v>
      </c>
    </row>
    <row r="756" spans="3:6" x14ac:dyDescent="0.3">
      <c r="C756" s="1" t="s">
        <v>798</v>
      </c>
      <c r="D756" s="1" t="s">
        <v>78</v>
      </c>
      <c r="E756" s="1" t="s">
        <v>22</v>
      </c>
      <c r="F756" s="15">
        <v>560000</v>
      </c>
    </row>
    <row r="757" spans="3:6" x14ac:dyDescent="0.3">
      <c r="C757" s="1" t="s">
        <v>799</v>
      </c>
      <c r="D757" s="1" t="s">
        <v>124</v>
      </c>
      <c r="E757" s="1" t="s">
        <v>51</v>
      </c>
      <c r="F757" s="15">
        <v>560000</v>
      </c>
    </row>
    <row r="758" spans="3:6" x14ac:dyDescent="0.3">
      <c r="C758" s="1" t="s">
        <v>800</v>
      </c>
      <c r="D758" s="1" t="s">
        <v>124</v>
      </c>
      <c r="E758" s="1" t="s">
        <v>79</v>
      </c>
      <c r="F758" s="15">
        <v>560000</v>
      </c>
    </row>
    <row r="759" spans="3:6" x14ac:dyDescent="0.3">
      <c r="C759" s="1" t="s">
        <v>801</v>
      </c>
      <c r="D759" s="1" t="s">
        <v>124</v>
      </c>
      <c r="E759" s="1" t="s">
        <v>79</v>
      </c>
      <c r="F759" s="15">
        <v>560000</v>
      </c>
    </row>
    <row r="760" spans="3:6" x14ac:dyDescent="0.3">
      <c r="C760" s="1" t="s">
        <v>802</v>
      </c>
      <c r="D760" s="1" t="s">
        <v>124</v>
      </c>
      <c r="E760" s="1" t="s">
        <v>79</v>
      </c>
      <c r="F760" s="15">
        <v>560000</v>
      </c>
    </row>
    <row r="761" spans="3:6" x14ac:dyDescent="0.3">
      <c r="C761" s="1" t="s">
        <v>803</v>
      </c>
      <c r="D761" s="1" t="s">
        <v>102</v>
      </c>
      <c r="E761" s="1" t="s">
        <v>6</v>
      </c>
      <c r="F761" s="15">
        <v>560000</v>
      </c>
    </row>
    <row r="762" spans="3:6" x14ac:dyDescent="0.3">
      <c r="C762" s="1" t="s">
        <v>804</v>
      </c>
      <c r="D762" s="1" t="s">
        <v>102</v>
      </c>
      <c r="E762" s="1" t="s">
        <v>6</v>
      </c>
      <c r="F762" s="15">
        <v>560000</v>
      </c>
    </row>
    <row r="763" spans="3:6" x14ac:dyDescent="0.3">
      <c r="C763" s="1" t="s">
        <v>805</v>
      </c>
      <c r="D763" s="1" t="s">
        <v>102</v>
      </c>
      <c r="E763" s="1" t="s">
        <v>6</v>
      </c>
      <c r="F763" s="15">
        <v>560000</v>
      </c>
    </row>
    <row r="764" spans="3:6" x14ac:dyDescent="0.3">
      <c r="C764" s="1" t="s">
        <v>806</v>
      </c>
      <c r="D764" s="1" t="s">
        <v>55</v>
      </c>
      <c r="E764" s="1" t="s">
        <v>79</v>
      </c>
      <c r="F764" s="15">
        <v>559900</v>
      </c>
    </row>
    <row r="765" spans="3:6" x14ac:dyDescent="0.3">
      <c r="C765" s="1" t="s">
        <v>807</v>
      </c>
      <c r="D765" s="1" t="s">
        <v>12</v>
      </c>
      <c r="E765" s="1" t="s">
        <v>40</v>
      </c>
      <c r="F765" s="15">
        <v>559800</v>
      </c>
    </row>
    <row r="766" spans="3:6" x14ac:dyDescent="0.3">
      <c r="C766" s="1" t="s">
        <v>808</v>
      </c>
      <c r="D766" s="1" t="s">
        <v>68</v>
      </c>
      <c r="E766" s="1" t="s">
        <v>6</v>
      </c>
      <c r="F766" s="15">
        <v>559600</v>
      </c>
    </row>
    <row r="767" spans="3:6" x14ac:dyDescent="0.3">
      <c r="C767" s="1" t="s">
        <v>809</v>
      </c>
      <c r="D767" s="1" t="s">
        <v>216</v>
      </c>
      <c r="E767" s="1" t="s">
        <v>22</v>
      </c>
      <c r="F767" s="15">
        <v>559400</v>
      </c>
    </row>
    <row r="768" spans="3:6" x14ac:dyDescent="0.3">
      <c r="C768" s="1" t="s">
        <v>810</v>
      </c>
      <c r="D768" s="1" t="s">
        <v>21</v>
      </c>
      <c r="E768" s="1" t="s">
        <v>40</v>
      </c>
      <c r="F768" s="15">
        <v>559320</v>
      </c>
    </row>
    <row r="769" spans="3:6" x14ac:dyDescent="0.3">
      <c r="C769" s="1" t="s">
        <v>811</v>
      </c>
      <c r="D769" s="1" t="s">
        <v>27</v>
      </c>
      <c r="E769" s="1" t="s">
        <v>79</v>
      </c>
      <c r="F769" s="15">
        <v>559300</v>
      </c>
    </row>
    <row r="770" spans="3:6" x14ac:dyDescent="0.3">
      <c r="C770" s="1" t="s">
        <v>812</v>
      </c>
      <c r="D770" s="1" t="s">
        <v>27</v>
      </c>
      <c r="E770" s="1" t="s">
        <v>79</v>
      </c>
      <c r="F770" s="15">
        <v>559100</v>
      </c>
    </row>
    <row r="771" spans="3:6" x14ac:dyDescent="0.3">
      <c r="C771" s="1" t="s">
        <v>813</v>
      </c>
      <c r="D771" s="1" t="s">
        <v>74</v>
      </c>
      <c r="E771" s="1" t="s">
        <v>6</v>
      </c>
      <c r="F771" s="15">
        <v>559100</v>
      </c>
    </row>
    <row r="772" spans="3:6" x14ac:dyDescent="0.3">
      <c r="C772" s="1" t="s">
        <v>814</v>
      </c>
      <c r="D772" s="1" t="s">
        <v>18</v>
      </c>
      <c r="E772" s="1" t="s">
        <v>79</v>
      </c>
      <c r="F772" s="15">
        <v>559100</v>
      </c>
    </row>
    <row r="773" spans="3:6" x14ac:dyDescent="0.3">
      <c r="C773" s="1" t="s">
        <v>815</v>
      </c>
      <c r="D773" s="1" t="s">
        <v>5</v>
      </c>
      <c r="E773" s="1" t="s">
        <v>22</v>
      </c>
      <c r="F773" s="15">
        <v>559100</v>
      </c>
    </row>
    <row r="774" spans="3:6" x14ac:dyDescent="0.3">
      <c r="C774" s="1" t="s">
        <v>816</v>
      </c>
      <c r="D774" s="1" t="s">
        <v>61</v>
      </c>
      <c r="E774" s="1" t="s">
        <v>79</v>
      </c>
      <c r="F774" s="15">
        <v>559000</v>
      </c>
    </row>
    <row r="775" spans="3:6" x14ac:dyDescent="0.3">
      <c r="C775" s="1" t="s">
        <v>817</v>
      </c>
      <c r="D775" s="1" t="s">
        <v>61</v>
      </c>
      <c r="E775" s="1" t="s">
        <v>79</v>
      </c>
      <c r="F775" s="15">
        <v>559000</v>
      </c>
    </row>
    <row r="776" spans="3:6" x14ac:dyDescent="0.3">
      <c r="C776" s="1" t="s">
        <v>818</v>
      </c>
      <c r="D776" s="1" t="s">
        <v>106</v>
      </c>
      <c r="E776" s="1" t="s">
        <v>79</v>
      </c>
      <c r="F776" s="15">
        <v>559000</v>
      </c>
    </row>
    <row r="777" spans="3:6" x14ac:dyDescent="0.3">
      <c r="C777" s="1" t="s">
        <v>819</v>
      </c>
      <c r="D777" s="1" t="s">
        <v>37</v>
      </c>
      <c r="E777" s="1" t="s">
        <v>22</v>
      </c>
      <c r="F777" s="15">
        <v>559000</v>
      </c>
    </row>
    <row r="778" spans="3:6" x14ac:dyDescent="0.3">
      <c r="C778" s="1" t="s">
        <v>820</v>
      </c>
      <c r="D778" s="1" t="s">
        <v>156</v>
      </c>
      <c r="E778" s="1" t="s">
        <v>79</v>
      </c>
      <c r="F778" s="15">
        <v>559000</v>
      </c>
    </row>
    <row r="779" spans="3:6" x14ac:dyDescent="0.3">
      <c r="C779" s="1" t="s">
        <v>821</v>
      </c>
      <c r="D779" s="1" t="s">
        <v>216</v>
      </c>
      <c r="E779" s="1" t="s">
        <v>51</v>
      </c>
      <c r="F779" s="15">
        <v>558700</v>
      </c>
    </row>
    <row r="780" spans="3:6" x14ac:dyDescent="0.3">
      <c r="C780" s="1" t="s">
        <v>822</v>
      </c>
      <c r="D780" s="1" t="s">
        <v>18</v>
      </c>
      <c r="E780" s="1" t="s">
        <v>51</v>
      </c>
      <c r="F780" s="15">
        <v>558600</v>
      </c>
    </row>
    <row r="781" spans="3:6" x14ac:dyDescent="0.3">
      <c r="C781" s="1" t="s">
        <v>823</v>
      </c>
      <c r="D781" s="1" t="s">
        <v>27</v>
      </c>
      <c r="E781" s="1" t="s">
        <v>40</v>
      </c>
      <c r="F781" s="15">
        <v>558600</v>
      </c>
    </row>
    <row r="782" spans="3:6" x14ac:dyDescent="0.3">
      <c r="C782" s="1" t="s">
        <v>824</v>
      </c>
      <c r="D782" s="1" t="s">
        <v>61</v>
      </c>
      <c r="E782" s="1" t="s">
        <v>32</v>
      </c>
      <c r="F782" s="15">
        <v>558500</v>
      </c>
    </row>
    <row r="783" spans="3:6" x14ac:dyDescent="0.3">
      <c r="C783" s="1" t="s">
        <v>825</v>
      </c>
      <c r="D783" s="1" t="s">
        <v>14</v>
      </c>
      <c r="E783" s="1" t="s">
        <v>40</v>
      </c>
      <c r="F783" s="15">
        <v>558500</v>
      </c>
    </row>
    <row r="784" spans="3:6" x14ac:dyDescent="0.3">
      <c r="C784" s="1" t="s">
        <v>826</v>
      </c>
      <c r="D784" s="1" t="s">
        <v>27</v>
      </c>
      <c r="E784" s="1" t="s">
        <v>51</v>
      </c>
      <c r="F784" s="15">
        <v>558500</v>
      </c>
    </row>
    <row r="785" spans="3:6" x14ac:dyDescent="0.3">
      <c r="C785" s="1" t="s">
        <v>827</v>
      </c>
      <c r="D785" s="1" t="s">
        <v>91</v>
      </c>
      <c r="E785" s="1" t="s">
        <v>79</v>
      </c>
      <c r="F785" s="15">
        <v>558400</v>
      </c>
    </row>
    <row r="786" spans="3:6" x14ac:dyDescent="0.3">
      <c r="C786" s="1" t="s">
        <v>828</v>
      </c>
      <c r="D786" s="1" t="s">
        <v>118</v>
      </c>
      <c r="E786" s="1" t="s">
        <v>32</v>
      </c>
      <c r="F786" s="15">
        <v>558400</v>
      </c>
    </row>
    <row r="787" spans="3:6" x14ac:dyDescent="0.3">
      <c r="C787" s="1" t="s">
        <v>829</v>
      </c>
      <c r="D787" s="1" t="s">
        <v>49</v>
      </c>
      <c r="E787" s="1" t="s">
        <v>10</v>
      </c>
      <c r="F787" s="15">
        <v>558125</v>
      </c>
    </row>
    <row r="788" spans="3:6" x14ac:dyDescent="0.3">
      <c r="C788" s="1" t="s">
        <v>830</v>
      </c>
      <c r="D788" s="1" t="s">
        <v>61</v>
      </c>
      <c r="E788" s="1" t="s">
        <v>51</v>
      </c>
      <c r="F788" s="15">
        <v>558000</v>
      </c>
    </row>
    <row r="789" spans="3:6" x14ac:dyDescent="0.3">
      <c r="C789" s="1" t="s">
        <v>831</v>
      </c>
      <c r="D789" s="1" t="s">
        <v>118</v>
      </c>
      <c r="E789" s="1" t="s">
        <v>79</v>
      </c>
      <c r="F789" s="15">
        <v>558000</v>
      </c>
    </row>
    <row r="790" spans="3:6" x14ac:dyDescent="0.3">
      <c r="C790" s="1" t="s">
        <v>832</v>
      </c>
      <c r="D790" s="1" t="s">
        <v>66</v>
      </c>
      <c r="E790" s="1" t="s">
        <v>6</v>
      </c>
      <c r="F790" s="15">
        <v>558000</v>
      </c>
    </row>
    <row r="791" spans="3:6" x14ac:dyDescent="0.3">
      <c r="C791" s="1" t="s">
        <v>833</v>
      </c>
      <c r="D791" s="1" t="s">
        <v>66</v>
      </c>
      <c r="E791" s="1" t="s">
        <v>79</v>
      </c>
      <c r="F791" s="15">
        <v>558000</v>
      </c>
    </row>
    <row r="792" spans="3:6" x14ac:dyDescent="0.3">
      <c r="C792" s="1" t="s">
        <v>834</v>
      </c>
      <c r="D792" s="1" t="s">
        <v>5</v>
      </c>
      <c r="E792" s="1" t="s">
        <v>10</v>
      </c>
      <c r="F792" s="15">
        <v>557800</v>
      </c>
    </row>
    <row r="793" spans="3:6" x14ac:dyDescent="0.3">
      <c r="C793" s="1" t="s">
        <v>835</v>
      </c>
      <c r="D793" s="1" t="s">
        <v>63</v>
      </c>
      <c r="E793" s="1" t="s">
        <v>40</v>
      </c>
      <c r="F793" s="15">
        <v>557650</v>
      </c>
    </row>
    <row r="794" spans="3:6" x14ac:dyDescent="0.3">
      <c r="C794" s="1" t="s">
        <v>836</v>
      </c>
      <c r="D794" s="1" t="s">
        <v>61</v>
      </c>
      <c r="E794" s="1" t="s">
        <v>10</v>
      </c>
      <c r="F794" s="15">
        <v>557500</v>
      </c>
    </row>
    <row r="795" spans="3:6" x14ac:dyDescent="0.3">
      <c r="C795" s="1" t="s">
        <v>837</v>
      </c>
      <c r="D795" s="1" t="s">
        <v>39</v>
      </c>
      <c r="E795" s="1" t="s">
        <v>51</v>
      </c>
      <c r="F795" s="15">
        <v>557500</v>
      </c>
    </row>
    <row r="796" spans="3:6" x14ac:dyDescent="0.3">
      <c r="C796" s="1" t="s">
        <v>838</v>
      </c>
      <c r="D796" s="1" t="s">
        <v>39</v>
      </c>
      <c r="E796" s="1" t="s">
        <v>32</v>
      </c>
      <c r="F796" s="15">
        <v>557500</v>
      </c>
    </row>
    <row r="797" spans="3:6" x14ac:dyDescent="0.3">
      <c r="C797" s="1" t="s">
        <v>839</v>
      </c>
      <c r="D797" s="1" t="s">
        <v>9</v>
      </c>
      <c r="E797" s="1" t="s">
        <v>79</v>
      </c>
      <c r="F797" s="15">
        <v>557500</v>
      </c>
    </row>
    <row r="798" spans="3:6" x14ac:dyDescent="0.3">
      <c r="C798" s="1" t="s">
        <v>840</v>
      </c>
      <c r="D798" s="1" t="s">
        <v>21</v>
      </c>
      <c r="E798" s="1" t="s">
        <v>79</v>
      </c>
      <c r="F798" s="15">
        <v>557500</v>
      </c>
    </row>
    <row r="799" spans="3:6" x14ac:dyDescent="0.3">
      <c r="C799" s="1" t="s">
        <v>841</v>
      </c>
      <c r="D799" s="1" t="s">
        <v>102</v>
      </c>
      <c r="E799" s="1" t="s">
        <v>22</v>
      </c>
      <c r="F799" s="15">
        <v>557500</v>
      </c>
    </row>
    <row r="800" spans="3:6" x14ac:dyDescent="0.3">
      <c r="C800" s="1" t="s">
        <v>842</v>
      </c>
      <c r="D800" s="1" t="s">
        <v>102</v>
      </c>
      <c r="E800" s="1" t="s">
        <v>79</v>
      </c>
      <c r="F800" s="15">
        <v>557500</v>
      </c>
    </row>
    <row r="801" spans="3:6" x14ac:dyDescent="0.3">
      <c r="C801" s="1" t="s">
        <v>843</v>
      </c>
      <c r="D801" s="1" t="s">
        <v>102</v>
      </c>
      <c r="E801" s="1" t="s">
        <v>79</v>
      </c>
      <c r="F801" s="15">
        <v>557500</v>
      </c>
    </row>
    <row r="802" spans="3:6" x14ac:dyDescent="0.3">
      <c r="C802" s="1" t="s">
        <v>844</v>
      </c>
      <c r="D802" s="1" t="s">
        <v>102</v>
      </c>
      <c r="E802" s="1" t="s">
        <v>10</v>
      </c>
      <c r="F802" s="15">
        <v>557500</v>
      </c>
    </row>
    <row r="803" spans="3:6" x14ac:dyDescent="0.3">
      <c r="C803" s="1" t="s">
        <v>845</v>
      </c>
      <c r="D803" s="1" t="s">
        <v>156</v>
      </c>
      <c r="E803" s="1" t="s">
        <v>111</v>
      </c>
      <c r="F803" s="15">
        <v>557500</v>
      </c>
    </row>
    <row r="804" spans="3:6" x14ac:dyDescent="0.3">
      <c r="C804" s="1" t="s">
        <v>846</v>
      </c>
      <c r="D804" s="1" t="s">
        <v>49</v>
      </c>
      <c r="E804" s="1" t="s">
        <v>35</v>
      </c>
      <c r="F804" s="15">
        <v>557500</v>
      </c>
    </row>
    <row r="805" spans="3:6" x14ac:dyDescent="0.3">
      <c r="C805" s="1" t="s">
        <v>847</v>
      </c>
      <c r="D805" s="1" t="s">
        <v>118</v>
      </c>
      <c r="E805" s="1" t="s">
        <v>35</v>
      </c>
      <c r="F805" s="15">
        <v>557400</v>
      </c>
    </row>
    <row r="806" spans="3:6" x14ac:dyDescent="0.3">
      <c r="C806" s="1" t="s">
        <v>848</v>
      </c>
      <c r="D806" s="1" t="s">
        <v>34</v>
      </c>
      <c r="E806" s="1" t="s">
        <v>79</v>
      </c>
      <c r="F806" s="15">
        <v>557250</v>
      </c>
    </row>
    <row r="807" spans="3:6" x14ac:dyDescent="0.3">
      <c r="C807" s="1" t="s">
        <v>849</v>
      </c>
      <c r="D807" s="1" t="s">
        <v>9</v>
      </c>
      <c r="E807" s="1" t="s">
        <v>79</v>
      </c>
      <c r="F807" s="15">
        <v>557250</v>
      </c>
    </row>
    <row r="808" spans="3:6" x14ac:dyDescent="0.3">
      <c r="C808" s="1" t="s">
        <v>850</v>
      </c>
      <c r="D808" s="1" t="s">
        <v>55</v>
      </c>
      <c r="E808" s="1" t="s">
        <v>79</v>
      </c>
      <c r="F808" s="15">
        <v>557200</v>
      </c>
    </row>
    <row r="809" spans="3:6" x14ac:dyDescent="0.3">
      <c r="C809" s="1" t="s">
        <v>851</v>
      </c>
      <c r="D809" s="1" t="s">
        <v>63</v>
      </c>
      <c r="E809" s="1" t="s">
        <v>51</v>
      </c>
      <c r="F809" s="15">
        <v>557125</v>
      </c>
    </row>
    <row r="810" spans="3:6" x14ac:dyDescent="0.3">
      <c r="C810" s="1" t="s">
        <v>852</v>
      </c>
      <c r="D810" s="1" t="s">
        <v>61</v>
      </c>
      <c r="E810" s="1" t="s">
        <v>79</v>
      </c>
      <c r="F810" s="15">
        <v>557000</v>
      </c>
    </row>
    <row r="811" spans="3:6" x14ac:dyDescent="0.3">
      <c r="C811" s="1" t="s">
        <v>853</v>
      </c>
      <c r="D811" s="1" t="s">
        <v>14</v>
      </c>
      <c r="E811" s="1" t="s">
        <v>79</v>
      </c>
      <c r="F811" s="15">
        <v>557000</v>
      </c>
    </row>
    <row r="812" spans="3:6" x14ac:dyDescent="0.3">
      <c r="C812" s="1" t="s">
        <v>854</v>
      </c>
      <c r="D812" s="1" t="s">
        <v>31</v>
      </c>
      <c r="E812" s="1" t="s">
        <v>43</v>
      </c>
      <c r="F812" s="15">
        <v>557000</v>
      </c>
    </row>
    <row r="813" spans="3:6" x14ac:dyDescent="0.3">
      <c r="C813" s="1" t="s">
        <v>855</v>
      </c>
      <c r="D813" s="1" t="s">
        <v>31</v>
      </c>
      <c r="E813" s="1" t="s">
        <v>79</v>
      </c>
      <c r="F813" s="15">
        <v>557000</v>
      </c>
    </row>
    <row r="814" spans="3:6" x14ac:dyDescent="0.3">
      <c r="C814" s="1" t="s">
        <v>856</v>
      </c>
      <c r="D814" s="1" t="s">
        <v>31</v>
      </c>
      <c r="E814" s="1" t="s">
        <v>79</v>
      </c>
      <c r="F814" s="15">
        <v>557000</v>
      </c>
    </row>
    <row r="815" spans="3:6" x14ac:dyDescent="0.3">
      <c r="C815" s="1" t="s">
        <v>857</v>
      </c>
      <c r="D815" s="1" t="s">
        <v>34</v>
      </c>
      <c r="E815" s="1" t="s">
        <v>22</v>
      </c>
      <c r="F815" s="15">
        <v>557000</v>
      </c>
    </row>
    <row r="816" spans="3:6" x14ac:dyDescent="0.3">
      <c r="C816" s="1" t="s">
        <v>858</v>
      </c>
      <c r="D816" s="1" t="s">
        <v>66</v>
      </c>
      <c r="E816" s="1" t="s">
        <v>79</v>
      </c>
      <c r="F816" s="15">
        <v>557000</v>
      </c>
    </row>
    <row r="817" spans="3:6" x14ac:dyDescent="0.3">
      <c r="C817" s="1" t="s">
        <v>859</v>
      </c>
      <c r="D817" s="1" t="s">
        <v>12</v>
      </c>
      <c r="E817" s="1" t="s">
        <v>79</v>
      </c>
      <c r="F817" s="15">
        <v>556900</v>
      </c>
    </row>
    <row r="818" spans="3:6" x14ac:dyDescent="0.3">
      <c r="C818" s="1" t="s">
        <v>860</v>
      </c>
      <c r="D818" s="1" t="s">
        <v>55</v>
      </c>
      <c r="E818" s="1" t="s">
        <v>6</v>
      </c>
      <c r="F818" s="15">
        <v>556800</v>
      </c>
    </row>
    <row r="819" spans="3:6" x14ac:dyDescent="0.3">
      <c r="C819" s="1" t="s">
        <v>861</v>
      </c>
      <c r="D819" s="1" t="s">
        <v>118</v>
      </c>
      <c r="E819" s="1" t="s">
        <v>6</v>
      </c>
      <c r="F819" s="15">
        <v>556800</v>
      </c>
    </row>
    <row r="820" spans="3:6" x14ac:dyDescent="0.3">
      <c r="C820" s="1" t="s">
        <v>862</v>
      </c>
      <c r="D820" s="1" t="s">
        <v>118</v>
      </c>
      <c r="E820" s="1" t="s">
        <v>51</v>
      </c>
      <c r="F820" s="15">
        <v>556700</v>
      </c>
    </row>
    <row r="821" spans="3:6" x14ac:dyDescent="0.3">
      <c r="C821" s="1" t="s">
        <v>863</v>
      </c>
      <c r="D821" s="1" t="s">
        <v>29</v>
      </c>
      <c r="E821" s="1" t="s">
        <v>35</v>
      </c>
      <c r="F821" s="15">
        <v>556500</v>
      </c>
    </row>
    <row r="822" spans="3:6" x14ac:dyDescent="0.3">
      <c r="C822" s="1" t="s">
        <v>864</v>
      </c>
      <c r="D822" s="1" t="s">
        <v>78</v>
      </c>
      <c r="E822" s="1" t="s">
        <v>6</v>
      </c>
      <c r="F822" s="15">
        <v>556500</v>
      </c>
    </row>
    <row r="823" spans="3:6" x14ac:dyDescent="0.3">
      <c r="C823" s="1" t="s">
        <v>865</v>
      </c>
      <c r="D823" s="1" t="s">
        <v>118</v>
      </c>
      <c r="E823" s="1" t="s">
        <v>79</v>
      </c>
      <c r="F823" s="15">
        <v>556500</v>
      </c>
    </row>
    <row r="824" spans="3:6" x14ac:dyDescent="0.3">
      <c r="C824" s="1" t="s">
        <v>866</v>
      </c>
      <c r="D824" s="1" t="s">
        <v>216</v>
      </c>
      <c r="E824" s="1" t="s">
        <v>22</v>
      </c>
      <c r="F824" s="15">
        <v>556500</v>
      </c>
    </row>
    <row r="825" spans="3:6" x14ac:dyDescent="0.3">
      <c r="C825" s="1" t="s">
        <v>867</v>
      </c>
      <c r="D825" s="1" t="s">
        <v>9</v>
      </c>
      <c r="E825" s="1" t="s">
        <v>22</v>
      </c>
      <c r="F825" s="15">
        <v>556500</v>
      </c>
    </row>
    <row r="826" spans="3:6" x14ac:dyDescent="0.3">
      <c r="C826" s="1" t="s">
        <v>868</v>
      </c>
      <c r="D826" s="1" t="s">
        <v>18</v>
      </c>
      <c r="E826" s="1" t="s">
        <v>64</v>
      </c>
      <c r="F826" s="15">
        <v>556400</v>
      </c>
    </row>
    <row r="827" spans="3:6" x14ac:dyDescent="0.3">
      <c r="C827" s="1" t="s">
        <v>869</v>
      </c>
      <c r="D827" s="1" t="s">
        <v>55</v>
      </c>
      <c r="E827" s="1" t="s">
        <v>51</v>
      </c>
      <c r="F827" s="15">
        <v>556300</v>
      </c>
    </row>
    <row r="828" spans="3:6" x14ac:dyDescent="0.3">
      <c r="C828" s="1" t="s">
        <v>870</v>
      </c>
      <c r="D828" s="1" t="s">
        <v>21</v>
      </c>
      <c r="E828" s="1" t="s">
        <v>51</v>
      </c>
      <c r="F828" s="15">
        <v>556300</v>
      </c>
    </row>
    <row r="829" spans="3:6" x14ac:dyDescent="0.3">
      <c r="C829" s="1" t="s">
        <v>871</v>
      </c>
      <c r="D829" s="1" t="s">
        <v>18</v>
      </c>
      <c r="E829" s="1" t="s">
        <v>6</v>
      </c>
      <c r="F829" s="15">
        <v>556100</v>
      </c>
    </row>
    <row r="830" spans="3:6" x14ac:dyDescent="0.3">
      <c r="C830" s="1" t="s">
        <v>872</v>
      </c>
      <c r="D830" s="1" t="s">
        <v>106</v>
      </c>
      <c r="E830" s="1" t="s">
        <v>79</v>
      </c>
      <c r="F830" s="15">
        <v>556000</v>
      </c>
    </row>
    <row r="831" spans="3:6" x14ac:dyDescent="0.3">
      <c r="C831" s="1" t="s">
        <v>873</v>
      </c>
      <c r="D831" s="1" t="s">
        <v>106</v>
      </c>
      <c r="E831" s="1" t="s">
        <v>79</v>
      </c>
      <c r="F831" s="15">
        <v>556000</v>
      </c>
    </row>
    <row r="832" spans="3:6" x14ac:dyDescent="0.3">
      <c r="C832" s="1" t="s">
        <v>874</v>
      </c>
      <c r="D832" s="1" t="s">
        <v>55</v>
      </c>
      <c r="E832" s="1" t="s">
        <v>6</v>
      </c>
      <c r="F832" s="15">
        <v>556000</v>
      </c>
    </row>
    <row r="833" spans="3:6" x14ac:dyDescent="0.3">
      <c r="C833" s="1" t="s">
        <v>875</v>
      </c>
      <c r="D833" s="1" t="s">
        <v>21</v>
      </c>
      <c r="E833" s="1" t="s">
        <v>43</v>
      </c>
      <c r="F833" s="15">
        <v>555960</v>
      </c>
    </row>
    <row r="834" spans="3:6" x14ac:dyDescent="0.3">
      <c r="C834" s="1" t="s">
        <v>876</v>
      </c>
      <c r="D834" s="1" t="s">
        <v>68</v>
      </c>
      <c r="E834" s="1" t="s">
        <v>79</v>
      </c>
      <c r="F834" s="15">
        <v>555900</v>
      </c>
    </row>
    <row r="835" spans="3:6" x14ac:dyDescent="0.3">
      <c r="C835" s="1" t="s">
        <v>877</v>
      </c>
      <c r="D835" s="1" t="s">
        <v>61</v>
      </c>
      <c r="E835" s="1" t="s">
        <v>79</v>
      </c>
      <c r="F835" s="15">
        <v>555500</v>
      </c>
    </row>
    <row r="836" spans="3:6" x14ac:dyDescent="0.3">
      <c r="C836" s="1" t="s">
        <v>878</v>
      </c>
      <c r="D836" s="1" t="s">
        <v>27</v>
      </c>
      <c r="E836" s="1" t="s">
        <v>79</v>
      </c>
      <c r="F836" s="15">
        <v>555500</v>
      </c>
    </row>
    <row r="837" spans="3:6" x14ac:dyDescent="0.3">
      <c r="C837" s="1" t="s">
        <v>879</v>
      </c>
      <c r="D837" s="1" t="s">
        <v>63</v>
      </c>
      <c r="E837" s="1" t="s">
        <v>79</v>
      </c>
      <c r="F837" s="15">
        <v>555350</v>
      </c>
    </row>
    <row r="838" spans="3:6" x14ac:dyDescent="0.3">
      <c r="C838" s="1" t="s">
        <v>880</v>
      </c>
      <c r="D838" s="1" t="s">
        <v>27</v>
      </c>
      <c r="E838" s="1" t="s">
        <v>79</v>
      </c>
      <c r="F838" s="15">
        <v>555200</v>
      </c>
    </row>
    <row r="839" spans="3:6" x14ac:dyDescent="0.3">
      <c r="C839" s="1" t="s">
        <v>881</v>
      </c>
      <c r="D839" s="1" t="s">
        <v>74</v>
      </c>
      <c r="E839" s="1" t="s">
        <v>22</v>
      </c>
      <c r="F839" s="15">
        <v>555100</v>
      </c>
    </row>
    <row r="840" spans="3:6" x14ac:dyDescent="0.3">
      <c r="C840" s="1" t="s">
        <v>882</v>
      </c>
      <c r="D840" s="1" t="s">
        <v>34</v>
      </c>
      <c r="E840" s="1" t="s">
        <v>111</v>
      </c>
      <c r="F840" s="15">
        <v>555000</v>
      </c>
    </row>
    <row r="841" spans="3:6" x14ac:dyDescent="0.3">
      <c r="C841" s="1" t="s">
        <v>883</v>
      </c>
      <c r="D841" s="1" t="s">
        <v>74</v>
      </c>
      <c r="E841" s="1" t="s">
        <v>79</v>
      </c>
      <c r="F841" s="15">
        <v>555000</v>
      </c>
    </row>
    <row r="842" spans="3:6" x14ac:dyDescent="0.3">
      <c r="C842" s="1" t="s">
        <v>884</v>
      </c>
      <c r="D842" s="1" t="s">
        <v>55</v>
      </c>
      <c r="E842" s="1" t="s">
        <v>6</v>
      </c>
      <c r="F842" s="15">
        <v>555000</v>
      </c>
    </row>
    <row r="843" spans="3:6" x14ac:dyDescent="0.3">
      <c r="C843" s="1" t="s">
        <v>885</v>
      </c>
      <c r="D843" s="1" t="s">
        <v>61</v>
      </c>
      <c r="E843" s="1" t="s">
        <v>111</v>
      </c>
      <c r="F843" s="15">
        <v>555000</v>
      </c>
    </row>
    <row r="844" spans="3:6" x14ac:dyDescent="0.3">
      <c r="C844" s="1" t="s">
        <v>886</v>
      </c>
      <c r="D844" s="1" t="s">
        <v>106</v>
      </c>
      <c r="E844" s="1" t="s">
        <v>6</v>
      </c>
      <c r="F844" s="15">
        <v>555000</v>
      </c>
    </row>
    <row r="845" spans="3:6" x14ac:dyDescent="0.3">
      <c r="C845" s="1" t="s">
        <v>887</v>
      </c>
      <c r="D845" s="1" t="s">
        <v>61</v>
      </c>
      <c r="E845" s="1" t="s">
        <v>111</v>
      </c>
      <c r="F845" s="15">
        <v>555000</v>
      </c>
    </row>
    <row r="846" spans="3:6" x14ac:dyDescent="0.3">
      <c r="C846" s="1" t="s">
        <v>888</v>
      </c>
      <c r="D846" s="1" t="s">
        <v>68</v>
      </c>
      <c r="E846" s="1" t="s">
        <v>111</v>
      </c>
      <c r="F846" s="15">
        <v>555000</v>
      </c>
    </row>
    <row r="847" spans="3:6" x14ac:dyDescent="0.3">
      <c r="C847" s="1" t="s">
        <v>889</v>
      </c>
      <c r="D847" s="1" t="s">
        <v>106</v>
      </c>
      <c r="E847" s="1" t="s">
        <v>79</v>
      </c>
      <c r="F847" s="15">
        <v>555000</v>
      </c>
    </row>
    <row r="848" spans="3:6" x14ac:dyDescent="0.3">
      <c r="C848" s="1" t="s">
        <v>890</v>
      </c>
      <c r="D848" s="1" t="s">
        <v>63</v>
      </c>
      <c r="E848" s="1" t="s">
        <v>79</v>
      </c>
      <c r="F848" s="15">
        <v>555000</v>
      </c>
    </row>
    <row r="849" spans="3:6" x14ac:dyDescent="0.3">
      <c r="C849" s="1" t="s">
        <v>891</v>
      </c>
      <c r="D849" s="1" t="s">
        <v>63</v>
      </c>
      <c r="E849" s="1" t="s">
        <v>79</v>
      </c>
      <c r="F849" s="15">
        <v>555000</v>
      </c>
    </row>
    <row r="850" spans="3:6" x14ac:dyDescent="0.3">
      <c r="C850" s="1" t="s">
        <v>892</v>
      </c>
      <c r="D850" s="1" t="s">
        <v>34</v>
      </c>
      <c r="E850" s="1" t="s">
        <v>79</v>
      </c>
      <c r="F850" s="15">
        <v>555000</v>
      </c>
    </row>
    <row r="851" spans="3:6" x14ac:dyDescent="0.3">
      <c r="C851" s="1" t="s">
        <v>893</v>
      </c>
      <c r="D851" s="1" t="s">
        <v>78</v>
      </c>
      <c r="E851" s="1" t="s">
        <v>35</v>
      </c>
      <c r="F851" s="15">
        <v>555000</v>
      </c>
    </row>
    <row r="852" spans="3:6" x14ac:dyDescent="0.3">
      <c r="C852" s="1" t="s">
        <v>894</v>
      </c>
      <c r="D852" s="1" t="s">
        <v>78</v>
      </c>
      <c r="E852" s="1" t="s">
        <v>51</v>
      </c>
      <c r="F852" s="15">
        <v>555000</v>
      </c>
    </row>
    <row r="853" spans="3:6" x14ac:dyDescent="0.3">
      <c r="C853" s="1" t="s">
        <v>895</v>
      </c>
      <c r="D853" s="1" t="s">
        <v>78</v>
      </c>
      <c r="E853" s="1" t="s">
        <v>6</v>
      </c>
      <c r="F853" s="15">
        <v>555000</v>
      </c>
    </row>
    <row r="854" spans="3:6" x14ac:dyDescent="0.3">
      <c r="C854" s="1" t="s">
        <v>896</v>
      </c>
      <c r="D854" s="1" t="s">
        <v>78</v>
      </c>
      <c r="E854" s="1" t="s">
        <v>6</v>
      </c>
      <c r="F854" s="15">
        <v>555000</v>
      </c>
    </row>
    <row r="855" spans="3:6" x14ac:dyDescent="0.3">
      <c r="C855" s="1" t="s">
        <v>897</v>
      </c>
      <c r="D855" s="1" t="s">
        <v>78</v>
      </c>
      <c r="E855" s="1" t="s">
        <v>79</v>
      </c>
      <c r="F855" s="15">
        <v>555000</v>
      </c>
    </row>
    <row r="856" spans="3:6" x14ac:dyDescent="0.3">
      <c r="C856" s="1" t="s">
        <v>898</v>
      </c>
      <c r="D856" s="1" t="s">
        <v>78</v>
      </c>
      <c r="E856" s="1" t="s">
        <v>79</v>
      </c>
      <c r="F856" s="15">
        <v>555000</v>
      </c>
    </row>
    <row r="857" spans="3:6" x14ac:dyDescent="0.3">
      <c r="C857" s="1" t="s">
        <v>899</v>
      </c>
      <c r="D857" s="1" t="s">
        <v>78</v>
      </c>
      <c r="E857" s="1" t="s">
        <v>79</v>
      </c>
      <c r="F857" s="15">
        <v>555000</v>
      </c>
    </row>
    <row r="858" spans="3:6" x14ac:dyDescent="0.3">
      <c r="C858" s="1" t="s">
        <v>900</v>
      </c>
      <c r="D858" s="1" t="s">
        <v>78</v>
      </c>
      <c r="E858" s="1" t="s">
        <v>79</v>
      </c>
      <c r="F858" s="15">
        <v>555000</v>
      </c>
    </row>
    <row r="859" spans="3:6" x14ac:dyDescent="0.3">
      <c r="C859" s="1" t="s">
        <v>901</v>
      </c>
      <c r="D859" s="1" t="s">
        <v>78</v>
      </c>
      <c r="E859" s="1" t="s">
        <v>79</v>
      </c>
      <c r="F859" s="15">
        <v>555000</v>
      </c>
    </row>
    <row r="860" spans="3:6" x14ac:dyDescent="0.3">
      <c r="C860" s="1" t="s">
        <v>902</v>
      </c>
      <c r="D860" s="1" t="s">
        <v>18</v>
      </c>
      <c r="E860" s="1" t="s">
        <v>79</v>
      </c>
      <c r="F860" s="15">
        <v>555000</v>
      </c>
    </row>
    <row r="861" spans="3:6" x14ac:dyDescent="0.3">
      <c r="C861" s="1" t="s">
        <v>903</v>
      </c>
      <c r="D861" s="1" t="s">
        <v>18</v>
      </c>
      <c r="E861" s="1" t="s">
        <v>79</v>
      </c>
      <c r="F861" s="15">
        <v>555000</v>
      </c>
    </row>
    <row r="862" spans="3:6" x14ac:dyDescent="0.3">
      <c r="C862" s="1" t="s">
        <v>904</v>
      </c>
      <c r="D862" s="1" t="s">
        <v>49</v>
      </c>
      <c r="E862" s="1" t="s">
        <v>79</v>
      </c>
      <c r="F862" s="15">
        <v>555000</v>
      </c>
    </row>
    <row r="863" spans="3:6" x14ac:dyDescent="0.3">
      <c r="C863" s="1" t="s">
        <v>905</v>
      </c>
      <c r="D863" s="1" t="s">
        <v>49</v>
      </c>
      <c r="E863" s="1" t="s">
        <v>32</v>
      </c>
      <c r="F863" s="15">
        <v>555000</v>
      </c>
    </row>
    <row r="864" spans="3:6" x14ac:dyDescent="0.3">
      <c r="C864" s="1" t="s">
        <v>906</v>
      </c>
      <c r="D864" s="1" t="s">
        <v>66</v>
      </c>
      <c r="E864" s="1" t="s">
        <v>22</v>
      </c>
      <c r="F864" s="15">
        <v>555000</v>
      </c>
    </row>
    <row r="865" spans="3:6" x14ac:dyDescent="0.3">
      <c r="C865" s="1" t="s">
        <v>907</v>
      </c>
      <c r="D865" s="1" t="s">
        <v>216</v>
      </c>
      <c r="E865" s="1" t="s">
        <v>6</v>
      </c>
      <c r="F865" s="15">
        <v>555000</v>
      </c>
    </row>
    <row r="866" spans="3:6" x14ac:dyDescent="0.3">
      <c r="C866" s="1" t="s">
        <v>908</v>
      </c>
      <c r="D866" s="1" t="s">
        <v>216</v>
      </c>
      <c r="E866" s="1" t="s">
        <v>79</v>
      </c>
      <c r="F866" s="15">
        <v>555000</v>
      </c>
    </row>
    <row r="867" spans="3:6" x14ac:dyDescent="0.3">
      <c r="C867" s="1" t="s">
        <v>909</v>
      </c>
      <c r="D867" s="1" t="s">
        <v>66</v>
      </c>
      <c r="E867" s="1" t="s">
        <v>79</v>
      </c>
      <c r="F867" s="15">
        <v>555000</v>
      </c>
    </row>
    <row r="868" spans="3:6" x14ac:dyDescent="0.3">
      <c r="C868" s="1" t="s">
        <v>910</v>
      </c>
      <c r="D868" s="1" t="s">
        <v>106</v>
      </c>
      <c r="E868" s="1" t="s">
        <v>22</v>
      </c>
      <c r="F868" s="15">
        <v>555000</v>
      </c>
    </row>
    <row r="869" spans="3:6" x14ac:dyDescent="0.3">
      <c r="C869" s="1" t="s">
        <v>911</v>
      </c>
      <c r="D869" s="1" t="s">
        <v>66</v>
      </c>
      <c r="E869" s="1" t="s">
        <v>79</v>
      </c>
      <c r="F869" s="15">
        <v>555000</v>
      </c>
    </row>
    <row r="870" spans="3:6" x14ac:dyDescent="0.3">
      <c r="C870" s="1" t="s">
        <v>912</v>
      </c>
      <c r="D870" s="1" t="s">
        <v>216</v>
      </c>
      <c r="E870" s="1" t="s">
        <v>79</v>
      </c>
      <c r="F870" s="15">
        <v>555000</v>
      </c>
    </row>
    <row r="871" spans="3:6" x14ac:dyDescent="0.3">
      <c r="C871" s="1" t="s">
        <v>913</v>
      </c>
      <c r="D871" s="1" t="s">
        <v>55</v>
      </c>
      <c r="E871" s="1" t="s">
        <v>111</v>
      </c>
      <c r="F871" s="15">
        <v>555000</v>
      </c>
    </row>
    <row r="872" spans="3:6" x14ac:dyDescent="0.3">
      <c r="C872" s="1" t="s">
        <v>914</v>
      </c>
      <c r="D872" s="1" t="s">
        <v>18</v>
      </c>
      <c r="E872" s="1" t="s">
        <v>22</v>
      </c>
      <c r="F872" s="15">
        <v>555000</v>
      </c>
    </row>
    <row r="873" spans="3:6" x14ac:dyDescent="0.3">
      <c r="C873" s="1" t="s">
        <v>915</v>
      </c>
      <c r="D873" s="1" t="s">
        <v>21</v>
      </c>
      <c r="E873" s="1" t="s">
        <v>40</v>
      </c>
      <c r="F873" s="15">
        <v>555000</v>
      </c>
    </row>
    <row r="874" spans="3:6" x14ac:dyDescent="0.3">
      <c r="C874" s="1" t="s">
        <v>916</v>
      </c>
      <c r="D874" s="1" t="s">
        <v>21</v>
      </c>
      <c r="E874" s="1" t="s">
        <v>79</v>
      </c>
      <c r="F874" s="15">
        <v>555000</v>
      </c>
    </row>
    <row r="875" spans="3:6" x14ac:dyDescent="0.3">
      <c r="C875" s="1" t="s">
        <v>917</v>
      </c>
      <c r="D875" s="1" t="s">
        <v>5</v>
      </c>
      <c r="E875" s="1" t="s">
        <v>43</v>
      </c>
      <c r="F875" s="15">
        <v>555000</v>
      </c>
    </row>
    <row r="876" spans="3:6" x14ac:dyDescent="0.3">
      <c r="C876" s="1" t="s">
        <v>918</v>
      </c>
      <c r="D876" s="1" t="s">
        <v>63</v>
      </c>
      <c r="E876" s="1" t="s">
        <v>40</v>
      </c>
      <c r="F876" s="15">
        <v>555000</v>
      </c>
    </row>
    <row r="877" spans="3:6" x14ac:dyDescent="0.3">
      <c r="C877" s="1" t="s">
        <v>919</v>
      </c>
      <c r="D877" s="1" t="s">
        <v>49</v>
      </c>
      <c r="E877" s="1" t="s">
        <v>79</v>
      </c>
      <c r="F877" s="15">
        <v>555000</v>
      </c>
    </row>
    <row r="878" spans="3:6" x14ac:dyDescent="0.3">
      <c r="C878" s="1" t="s">
        <v>920</v>
      </c>
      <c r="D878" s="1" t="s">
        <v>216</v>
      </c>
      <c r="E878" s="1" t="s">
        <v>40</v>
      </c>
      <c r="F878" s="15">
        <v>555000</v>
      </c>
    </row>
    <row r="879" spans="3:6" x14ac:dyDescent="0.3">
      <c r="C879" s="1" t="s">
        <v>921</v>
      </c>
      <c r="D879" s="1" t="s">
        <v>12</v>
      </c>
      <c r="E879" s="1" t="s">
        <v>111</v>
      </c>
      <c r="F879" s="15">
        <v>555000</v>
      </c>
    </row>
    <row r="880" spans="3:6" x14ac:dyDescent="0.3">
      <c r="C880" s="1" t="s">
        <v>922</v>
      </c>
      <c r="D880" s="1" t="s">
        <v>124</v>
      </c>
      <c r="E880" s="1" t="s">
        <v>79</v>
      </c>
      <c r="F880" s="15">
        <v>555000</v>
      </c>
    </row>
  </sheetData>
  <printOptions headings="1" gridLines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winston</dc:creator>
  <cp:lastModifiedBy>Owner</cp:lastModifiedBy>
  <dcterms:created xsi:type="dcterms:W3CDTF">2019-09-06T20:52:38Z</dcterms:created>
  <dcterms:modified xsi:type="dcterms:W3CDTF">2021-06-10T21:52:53Z</dcterms:modified>
</cp:coreProperties>
</file>