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8_{1245A744-8F3E-6344-B610-183406D412CE}" xr6:coauthVersionLast="47" xr6:coauthVersionMax="47" xr10:uidLastSave="{00000000-0000-0000-0000-000000000000}"/>
  <bookViews>
    <workbookView xWindow="-180" yWindow="600" windowWidth="25320" windowHeight="12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2" i="1"/>
  <c r="C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2" i="1"/>
  <c r="C37" i="1"/>
  <c r="C38" i="1"/>
  <c r="C63" i="1"/>
  <c r="J58" i="1"/>
  <c r="C58" i="1" s="1"/>
  <c r="J59" i="1"/>
  <c r="C59" i="1" s="1"/>
  <c r="J60" i="1"/>
  <c r="C60" i="1" s="1"/>
  <c r="J61" i="1"/>
  <c r="C61" i="1" s="1"/>
  <c r="J62" i="1"/>
  <c r="C62" i="1" s="1"/>
  <c r="J63" i="1"/>
  <c r="J64" i="1"/>
  <c r="C64" i="1" s="1"/>
  <c r="J65" i="1"/>
  <c r="C65" i="1" s="1"/>
  <c r="J41" i="1"/>
  <c r="C41" i="1" s="1"/>
  <c r="J42" i="1"/>
  <c r="C42" i="1" s="1"/>
  <c r="J43" i="1"/>
  <c r="C43" i="1" s="1"/>
  <c r="J44" i="1"/>
  <c r="C44" i="1" s="1"/>
  <c r="J45" i="1"/>
  <c r="C45" i="1" s="1"/>
  <c r="J46" i="1"/>
  <c r="C46" i="1" s="1"/>
  <c r="J47" i="1"/>
  <c r="C47" i="1" s="1"/>
  <c r="J48" i="1"/>
  <c r="C48" i="1" s="1"/>
  <c r="J49" i="1"/>
  <c r="C49" i="1" s="1"/>
  <c r="J50" i="1"/>
  <c r="C50" i="1" s="1"/>
  <c r="J51" i="1"/>
  <c r="C51" i="1" s="1"/>
  <c r="J52" i="1"/>
  <c r="C52" i="1" s="1"/>
  <c r="J53" i="1"/>
  <c r="C53" i="1" s="1"/>
  <c r="J54" i="1"/>
  <c r="C54" i="1" s="1"/>
  <c r="J55" i="1"/>
  <c r="C55" i="1" s="1"/>
  <c r="J56" i="1"/>
  <c r="C56" i="1" s="1"/>
  <c r="J57" i="1"/>
  <c r="C57" i="1" s="1"/>
  <c r="J21" i="1"/>
  <c r="C21" i="1" s="1"/>
  <c r="J22" i="1"/>
  <c r="C22" i="1" s="1"/>
  <c r="J23" i="1"/>
  <c r="C23" i="1" s="1"/>
  <c r="J24" i="1"/>
  <c r="C24" i="1" s="1"/>
  <c r="J25" i="1"/>
  <c r="C25" i="1" s="1"/>
  <c r="J26" i="1"/>
  <c r="C26" i="1" s="1"/>
  <c r="J27" i="1"/>
  <c r="C27" i="1" s="1"/>
  <c r="J28" i="1"/>
  <c r="C28" i="1" s="1"/>
  <c r="J29" i="1"/>
  <c r="C29" i="1" s="1"/>
  <c r="J30" i="1"/>
  <c r="C30" i="1" s="1"/>
  <c r="J31" i="1"/>
  <c r="C31" i="1" s="1"/>
  <c r="J32" i="1"/>
  <c r="C32" i="1" s="1"/>
  <c r="J33" i="1"/>
  <c r="C33" i="1" s="1"/>
  <c r="J34" i="1"/>
  <c r="C34" i="1" s="1"/>
  <c r="J35" i="1"/>
  <c r="C35" i="1" s="1"/>
  <c r="J36" i="1"/>
  <c r="C36" i="1" s="1"/>
  <c r="J37" i="1"/>
  <c r="J38" i="1"/>
  <c r="J39" i="1"/>
  <c r="C39" i="1" s="1"/>
  <c r="J40" i="1"/>
  <c r="C40" i="1" s="1"/>
  <c r="J3" i="1"/>
  <c r="C3" i="1" s="1"/>
  <c r="J4" i="1"/>
  <c r="C4" i="1" s="1"/>
  <c r="J5" i="1"/>
  <c r="C5" i="1" s="1"/>
  <c r="J6" i="1"/>
  <c r="C6" i="1" s="1"/>
  <c r="J7" i="1"/>
  <c r="C7" i="1" s="1"/>
  <c r="J8" i="1"/>
  <c r="C8" i="1" s="1"/>
  <c r="J9" i="1"/>
  <c r="C9" i="1" s="1"/>
  <c r="J10" i="1"/>
  <c r="C10" i="1" s="1"/>
  <c r="J11" i="1"/>
  <c r="C11" i="1" s="1"/>
  <c r="J12" i="1"/>
  <c r="C12" i="1" s="1"/>
  <c r="J13" i="1"/>
  <c r="C13" i="1" s="1"/>
  <c r="J14" i="1"/>
  <c r="C14" i="1" s="1"/>
  <c r="J15" i="1"/>
  <c r="C15" i="1" s="1"/>
  <c r="J16" i="1"/>
  <c r="C16" i="1" s="1"/>
  <c r="J17" i="1"/>
  <c r="C17" i="1" s="1"/>
  <c r="J18" i="1"/>
  <c r="C18" i="1" s="1"/>
  <c r="J19" i="1"/>
  <c r="C19" i="1" s="1"/>
  <c r="J20" i="1"/>
  <c r="C20" i="1" s="1"/>
  <c r="J2" i="1"/>
  <c r="I3" i="1"/>
  <c r="B3" i="1" s="1"/>
  <c r="I4" i="1"/>
  <c r="B4" i="1" s="1"/>
  <c r="I5" i="1"/>
  <c r="B5" i="1" s="1"/>
  <c r="I6" i="1"/>
  <c r="B6" i="1" s="1"/>
  <c r="I7" i="1"/>
  <c r="B7" i="1" s="1"/>
  <c r="I8" i="1"/>
  <c r="B8" i="1" s="1"/>
  <c r="I9" i="1"/>
  <c r="B9" i="1" s="1"/>
  <c r="I10" i="1"/>
  <c r="B10" i="1" s="1"/>
  <c r="I11" i="1"/>
  <c r="B11" i="1" s="1"/>
  <c r="I12" i="1"/>
  <c r="B12" i="1" s="1"/>
  <c r="I13" i="1"/>
  <c r="B13" i="1" s="1"/>
  <c r="I14" i="1"/>
  <c r="B14" i="1" s="1"/>
  <c r="I15" i="1"/>
  <c r="B15" i="1" s="1"/>
  <c r="I16" i="1"/>
  <c r="B16" i="1" s="1"/>
  <c r="I17" i="1"/>
  <c r="B17" i="1" s="1"/>
  <c r="I18" i="1"/>
  <c r="B18" i="1" s="1"/>
  <c r="I19" i="1"/>
  <c r="B19" i="1" s="1"/>
  <c r="I20" i="1"/>
  <c r="B20" i="1" s="1"/>
  <c r="I21" i="1"/>
  <c r="B21" i="1" s="1"/>
  <c r="I22" i="1"/>
  <c r="B22" i="1" s="1"/>
  <c r="I23" i="1"/>
  <c r="B23" i="1" s="1"/>
  <c r="I24" i="1"/>
  <c r="B24" i="1" s="1"/>
  <c r="I25" i="1"/>
  <c r="B25" i="1" s="1"/>
  <c r="I26" i="1"/>
  <c r="B26" i="1" s="1"/>
  <c r="I27" i="1"/>
  <c r="B27" i="1" s="1"/>
  <c r="I28" i="1"/>
  <c r="B28" i="1" s="1"/>
  <c r="I29" i="1"/>
  <c r="B29" i="1" s="1"/>
  <c r="I30" i="1"/>
  <c r="B30" i="1" s="1"/>
  <c r="I31" i="1"/>
  <c r="B31" i="1" s="1"/>
  <c r="I32" i="1"/>
  <c r="B32" i="1" s="1"/>
  <c r="I33" i="1"/>
  <c r="B33" i="1" s="1"/>
  <c r="I34" i="1"/>
  <c r="B34" i="1" s="1"/>
  <c r="I35" i="1"/>
  <c r="B35" i="1" s="1"/>
  <c r="I36" i="1"/>
  <c r="B36" i="1" s="1"/>
  <c r="I37" i="1"/>
  <c r="B37" i="1" s="1"/>
  <c r="I38" i="1"/>
  <c r="B38" i="1" s="1"/>
  <c r="I39" i="1"/>
  <c r="B39" i="1" s="1"/>
  <c r="I40" i="1"/>
  <c r="B40" i="1" s="1"/>
  <c r="I41" i="1"/>
  <c r="B41" i="1" s="1"/>
  <c r="I42" i="1"/>
  <c r="B42" i="1" s="1"/>
  <c r="I43" i="1"/>
  <c r="B43" i="1" s="1"/>
  <c r="I44" i="1"/>
  <c r="B44" i="1" s="1"/>
  <c r="I45" i="1"/>
  <c r="B45" i="1" s="1"/>
  <c r="I46" i="1"/>
  <c r="B46" i="1" s="1"/>
  <c r="I47" i="1"/>
  <c r="B47" i="1" s="1"/>
  <c r="I48" i="1"/>
  <c r="B48" i="1" s="1"/>
  <c r="I49" i="1"/>
  <c r="B49" i="1" s="1"/>
  <c r="I50" i="1"/>
  <c r="B50" i="1" s="1"/>
  <c r="I51" i="1"/>
  <c r="B51" i="1" s="1"/>
  <c r="I52" i="1"/>
  <c r="B52" i="1" s="1"/>
  <c r="I53" i="1"/>
  <c r="B53" i="1" s="1"/>
  <c r="I54" i="1"/>
  <c r="B54" i="1" s="1"/>
  <c r="I55" i="1"/>
  <c r="B55" i="1" s="1"/>
  <c r="I56" i="1"/>
  <c r="B56" i="1" s="1"/>
  <c r="I57" i="1"/>
  <c r="B57" i="1" s="1"/>
  <c r="I58" i="1"/>
  <c r="B58" i="1" s="1"/>
  <c r="I59" i="1"/>
  <c r="B59" i="1" s="1"/>
  <c r="I60" i="1"/>
  <c r="B60" i="1" s="1"/>
  <c r="I61" i="1"/>
  <c r="B61" i="1" s="1"/>
  <c r="I62" i="1"/>
  <c r="B62" i="1" s="1"/>
  <c r="I63" i="1"/>
  <c r="B63" i="1" s="1"/>
  <c r="I64" i="1"/>
  <c r="B64" i="1" s="1"/>
  <c r="I65" i="1"/>
  <c r="B65" i="1" s="1"/>
  <c r="I2" i="1"/>
  <c r="B2" i="1" s="1"/>
</calcChain>
</file>

<file path=xl/sharedStrings.xml><?xml version="1.0" encoding="utf-8"?>
<sst xmlns="http://schemas.openxmlformats.org/spreadsheetml/2006/main" count="135" uniqueCount="71">
  <si>
    <t>Item</t>
  </si>
  <si>
    <t>100's:100-65L</t>
  </si>
  <si>
    <t>100's:100-65XL</t>
  </si>
  <si>
    <t>100's:100-65XXL</t>
  </si>
  <si>
    <t>100's:100-06M</t>
  </si>
  <si>
    <t>100's:100-06L</t>
  </si>
  <si>
    <t>100's:100-06XL</t>
  </si>
  <si>
    <t>100's:100-06XXL</t>
  </si>
  <si>
    <t>100's:100-05M</t>
  </si>
  <si>
    <t>100's:100-05L</t>
  </si>
  <si>
    <t>100's:100-05XL</t>
  </si>
  <si>
    <t>100's:100-05XXL</t>
  </si>
  <si>
    <t>100's:100-04S</t>
  </si>
  <si>
    <t>100's:100-04M</t>
  </si>
  <si>
    <t>100's:100-04L</t>
  </si>
  <si>
    <t>100's:100-04XL</t>
  </si>
  <si>
    <t>100's:100-04XXL</t>
  </si>
  <si>
    <t>100's:100-02S</t>
  </si>
  <si>
    <t>100's:100-02M</t>
  </si>
  <si>
    <t>100's:100-02L</t>
  </si>
  <si>
    <t>100's:100-02XL</t>
  </si>
  <si>
    <t>100's:100-02XXL</t>
  </si>
  <si>
    <t>100's:100-01S</t>
  </si>
  <si>
    <t>100's:100-01M</t>
  </si>
  <si>
    <t>100's:100-01L</t>
  </si>
  <si>
    <t>100's:100-01XL</t>
  </si>
  <si>
    <t>100's:100-01XXL</t>
  </si>
  <si>
    <t>100's:100-25M</t>
  </si>
  <si>
    <t>100's:100-25L</t>
  </si>
  <si>
    <t>100's:100-25XL</t>
  </si>
  <si>
    <t>100's:100-25XXL</t>
  </si>
  <si>
    <t>100's:100-11M</t>
  </si>
  <si>
    <t>100's:100-11L</t>
  </si>
  <si>
    <t>100's:100-11XL</t>
  </si>
  <si>
    <t>100's:100-11XXL</t>
  </si>
  <si>
    <t>125's:125-06M</t>
  </si>
  <si>
    <t>125's:125-06L</t>
  </si>
  <si>
    <t>125's:125-06XL</t>
  </si>
  <si>
    <t>125's:125-06XXL</t>
  </si>
  <si>
    <t>125's:125-05M</t>
  </si>
  <si>
    <t>125's:125-05L</t>
  </si>
  <si>
    <t>125's:125-05XL</t>
  </si>
  <si>
    <t>125's:125-05XXL</t>
  </si>
  <si>
    <t>125's:125-04M</t>
  </si>
  <si>
    <t>125's:125-04L</t>
  </si>
  <si>
    <t>125's:125-04XL</t>
  </si>
  <si>
    <t>125's:125-04XXL</t>
  </si>
  <si>
    <t>125's:125-02S</t>
  </si>
  <si>
    <t>125's:125-02M</t>
  </si>
  <si>
    <t>125's:125-02L</t>
  </si>
  <si>
    <t>125's:125-02XL</t>
  </si>
  <si>
    <t>125's:125-02XXL</t>
  </si>
  <si>
    <t>125's:125-25S</t>
  </si>
  <si>
    <t>125's:125-25M</t>
  </si>
  <si>
    <t>125's:125-25L</t>
  </si>
  <si>
    <t>125's:125-25XL</t>
  </si>
  <si>
    <t>125's:125-11M</t>
  </si>
  <si>
    <t>125's:125-11L</t>
  </si>
  <si>
    <t>125's:125-11XL</t>
  </si>
  <si>
    <t>125's:125-11XXL</t>
  </si>
  <si>
    <t>125's:125-01S</t>
  </si>
  <si>
    <t>125's:125-01M</t>
  </si>
  <si>
    <t>125's:125-01L</t>
  </si>
  <si>
    <t>125's:125-01XL</t>
  </si>
  <si>
    <t>125's:125-01XXL</t>
  </si>
  <si>
    <t>Style</t>
  </si>
  <si>
    <t>Color</t>
  </si>
  <si>
    <t>Size</t>
  </si>
  <si>
    <t>Position of :</t>
  </si>
  <si>
    <t>Position of -</t>
  </si>
  <si>
    <t>len of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</si>
</sst>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49" fontId="6" fillId="0" borderId="1" xfId="0" applyNumberFormat="1" applyFont="1" applyBorder="1" applyAlignment="1">
      <alignment horizontal="center"/>
    </xf>
    <xf numFmtId="49" fontId="6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"/>
  <sheetViews>
    <sheetView tabSelected="1" zoomScale="130" zoomScaleNormal="130" workbookViewId="0">
      <selection activeCell="I1" sqref="I1:K1"/>
    </sheetView>
  </sheetViews>
  <sheetFormatPr baseColWidth="10" defaultColWidth="8.83203125" defaultRowHeight="13" x14ac:dyDescent="0.15"/>
  <cols>
    <col min="1" max="1" width="13.83203125" customWidth="1"/>
    <col min="6" max="6" width="9.1640625"/>
    <col min="8" max="8" width="11" bestFit="1" customWidth="1"/>
    <col min="9" max="10" width="10.33203125" bestFit="1" customWidth="1"/>
    <col min="11" max="11" width="9.1640625" bestFit="1" customWidth="1"/>
    <col min="12" max="12" width="16.6640625" bestFit="1" customWidth="1"/>
  </cols>
  <sheetData>
    <row r="1" spans="1:12" ht="16" thickBot="1" x14ac:dyDescent="0.25">
      <c r="A1" s="7" t="s">
        <v>0</v>
      </c>
      <c r="B1" s="6" t="s">
        <v>65</v>
      </c>
      <c r="C1" s="6" t="s">
        <v>66</v>
      </c>
      <c r="D1" s="8" t="s">
        <v>67</v>
      </c>
      <c r="E1" s="1"/>
      <c r="F1" s="2"/>
      <c r="I1" s="5" t="s">
        <v>68</v>
      </c>
      <c r="J1" s="5" t="s">
        <v>69</v>
      </c>
      <c r="K1" s="5" t="s">
        <v>70</v>
      </c>
      <c r="L1" s="4"/>
    </row>
    <row r="2" spans="1:12" ht="14" thickTop="1" x14ac:dyDescent="0.15">
      <c r="A2" s="3" t="s">
        <v>1</v>
      </c>
      <c r="B2" t="str">
        <f>MID(A2,I2+1,3)</f>
        <v>100</v>
      </c>
      <c r="C2" t="str">
        <f>MID(A2,J2+1,2)</f>
        <v>65</v>
      </c>
      <c r="D2" s="4" t="str">
        <f>RIGHT(A2,K2-12)</f>
        <v>L</v>
      </c>
      <c r="H2" s="3" t="s">
        <v>1</v>
      </c>
      <c r="I2">
        <f>FIND(":",H2,1)</f>
        <v>6</v>
      </c>
      <c r="J2">
        <f>FIND("-",A2,1)</f>
        <v>10</v>
      </c>
      <c r="K2">
        <f>LEN(A2)</f>
        <v>13</v>
      </c>
    </row>
    <row r="3" spans="1:12" x14ac:dyDescent="0.15">
      <c r="A3" s="3" t="s">
        <v>2</v>
      </c>
      <c r="B3" t="str">
        <f>MID(A3,I3+1,3)</f>
        <v>100</v>
      </c>
      <c r="C3" t="str">
        <f>MID(A3,J3+1,2)</f>
        <v>65</v>
      </c>
      <c r="D3" s="4" t="str">
        <f t="shared" ref="D3:D65" si="0">RIGHT(A3,K3-12)</f>
        <v>XL</v>
      </c>
      <c r="H3" s="3" t="s">
        <v>2</v>
      </c>
      <c r="I3">
        <f t="shared" ref="I3:I65" si="1">FIND(":",H3,1)</f>
        <v>6</v>
      </c>
      <c r="J3">
        <f t="shared" ref="J3:J65" si="2">FIND("-",A3,1)</f>
        <v>10</v>
      </c>
      <c r="K3">
        <f t="shared" ref="K3:K65" si="3">LEN(A3)</f>
        <v>14</v>
      </c>
    </row>
    <row r="4" spans="1:12" x14ac:dyDescent="0.15">
      <c r="A4" s="3" t="s">
        <v>3</v>
      </c>
      <c r="B4" t="str">
        <f>MID(A4,I4+1,3)</f>
        <v>100</v>
      </c>
      <c r="C4" t="str">
        <f>MID(A4,J4+1,2)</f>
        <v>65</v>
      </c>
      <c r="D4" s="4" t="str">
        <f t="shared" si="0"/>
        <v>XXL</v>
      </c>
      <c r="H4" s="3" t="s">
        <v>3</v>
      </c>
      <c r="I4">
        <f t="shared" si="1"/>
        <v>6</v>
      </c>
      <c r="J4">
        <f t="shared" si="2"/>
        <v>10</v>
      </c>
      <c r="K4">
        <f t="shared" si="3"/>
        <v>15</v>
      </c>
    </row>
    <row r="5" spans="1:12" x14ac:dyDescent="0.15">
      <c r="A5" s="3" t="s">
        <v>4</v>
      </c>
      <c r="B5" t="str">
        <f>MID(A5,I5+1,3)</f>
        <v>100</v>
      </c>
      <c r="C5" t="str">
        <f>MID(A5,J5+1,2)</f>
        <v>06</v>
      </c>
      <c r="D5" s="4" t="str">
        <f t="shared" si="0"/>
        <v>M</v>
      </c>
      <c r="H5" s="3" t="s">
        <v>4</v>
      </c>
      <c r="I5">
        <f t="shared" si="1"/>
        <v>6</v>
      </c>
      <c r="J5">
        <f t="shared" si="2"/>
        <v>10</v>
      </c>
      <c r="K5">
        <f t="shared" si="3"/>
        <v>13</v>
      </c>
    </row>
    <row r="6" spans="1:12" x14ac:dyDescent="0.15">
      <c r="A6" s="3" t="s">
        <v>5</v>
      </c>
      <c r="B6" t="str">
        <f>MID(A6,I6+1,3)</f>
        <v>100</v>
      </c>
      <c r="C6" t="str">
        <f>MID(A6,J6+1,2)</f>
        <v>06</v>
      </c>
      <c r="D6" s="4" t="str">
        <f t="shared" si="0"/>
        <v>L</v>
      </c>
      <c r="H6" s="3" t="s">
        <v>5</v>
      </c>
      <c r="I6">
        <f t="shared" si="1"/>
        <v>6</v>
      </c>
      <c r="J6">
        <f t="shared" si="2"/>
        <v>10</v>
      </c>
      <c r="K6">
        <f t="shared" si="3"/>
        <v>13</v>
      </c>
    </row>
    <row r="7" spans="1:12" x14ac:dyDescent="0.15">
      <c r="A7" s="3" t="s">
        <v>6</v>
      </c>
      <c r="B7" t="str">
        <f>MID(A7,I7+1,3)</f>
        <v>100</v>
      </c>
      <c r="C7" t="str">
        <f>MID(A7,J7+1,2)</f>
        <v>06</v>
      </c>
      <c r="D7" s="4" t="str">
        <f t="shared" si="0"/>
        <v>XL</v>
      </c>
      <c r="H7" s="3" t="s">
        <v>6</v>
      </c>
      <c r="I7">
        <f t="shared" si="1"/>
        <v>6</v>
      </c>
      <c r="J7">
        <f t="shared" si="2"/>
        <v>10</v>
      </c>
      <c r="K7">
        <f t="shared" si="3"/>
        <v>14</v>
      </c>
    </row>
    <row r="8" spans="1:12" x14ac:dyDescent="0.15">
      <c r="A8" s="3" t="s">
        <v>7</v>
      </c>
      <c r="B8" t="str">
        <f>MID(A8,I8+1,3)</f>
        <v>100</v>
      </c>
      <c r="C8" t="str">
        <f>MID(A8,J8+1,2)</f>
        <v>06</v>
      </c>
      <c r="D8" s="4" t="str">
        <f t="shared" si="0"/>
        <v>XXL</v>
      </c>
      <c r="H8" s="3" t="s">
        <v>7</v>
      </c>
      <c r="I8">
        <f t="shared" si="1"/>
        <v>6</v>
      </c>
      <c r="J8">
        <f t="shared" si="2"/>
        <v>10</v>
      </c>
      <c r="K8">
        <f t="shared" si="3"/>
        <v>15</v>
      </c>
    </row>
    <row r="9" spans="1:12" x14ac:dyDescent="0.15">
      <c r="A9" s="3" t="s">
        <v>8</v>
      </c>
      <c r="B9" t="str">
        <f>MID(A9,I9+1,3)</f>
        <v>100</v>
      </c>
      <c r="C9" t="str">
        <f>MID(A9,J9+1,2)</f>
        <v>05</v>
      </c>
      <c r="D9" s="4" t="str">
        <f t="shared" si="0"/>
        <v>M</v>
      </c>
      <c r="H9" s="3" t="s">
        <v>8</v>
      </c>
      <c r="I9">
        <f t="shared" si="1"/>
        <v>6</v>
      </c>
      <c r="J9">
        <f t="shared" si="2"/>
        <v>10</v>
      </c>
      <c r="K9">
        <f t="shared" si="3"/>
        <v>13</v>
      </c>
    </row>
    <row r="10" spans="1:12" x14ac:dyDescent="0.15">
      <c r="A10" s="3" t="s">
        <v>9</v>
      </c>
      <c r="B10" t="str">
        <f>MID(A10,I10+1,3)</f>
        <v>100</v>
      </c>
      <c r="C10" t="str">
        <f>MID(A10,J10+1,2)</f>
        <v>05</v>
      </c>
      <c r="D10" s="4" t="str">
        <f t="shared" si="0"/>
        <v>L</v>
      </c>
      <c r="H10" s="3" t="s">
        <v>9</v>
      </c>
      <c r="I10">
        <f t="shared" si="1"/>
        <v>6</v>
      </c>
      <c r="J10">
        <f t="shared" si="2"/>
        <v>10</v>
      </c>
      <c r="K10">
        <f t="shared" si="3"/>
        <v>13</v>
      </c>
    </row>
    <row r="11" spans="1:12" x14ac:dyDescent="0.15">
      <c r="A11" s="3" t="s">
        <v>10</v>
      </c>
      <c r="B11" t="str">
        <f>MID(A11,I11+1,3)</f>
        <v>100</v>
      </c>
      <c r="C11" t="str">
        <f>MID(A11,J11+1,2)</f>
        <v>05</v>
      </c>
      <c r="D11" s="4" t="str">
        <f t="shared" si="0"/>
        <v>XL</v>
      </c>
      <c r="H11" s="3" t="s">
        <v>10</v>
      </c>
      <c r="I11">
        <f t="shared" si="1"/>
        <v>6</v>
      </c>
      <c r="J11">
        <f t="shared" si="2"/>
        <v>10</v>
      </c>
      <c r="K11">
        <f t="shared" si="3"/>
        <v>14</v>
      </c>
    </row>
    <row r="12" spans="1:12" x14ac:dyDescent="0.15">
      <c r="A12" s="3" t="s">
        <v>11</v>
      </c>
      <c r="B12" t="str">
        <f>MID(A12,I12+1,3)</f>
        <v>100</v>
      </c>
      <c r="C12" t="str">
        <f>MID(A12,J12+1,2)</f>
        <v>05</v>
      </c>
      <c r="D12" s="4" t="str">
        <f t="shared" si="0"/>
        <v>XXL</v>
      </c>
      <c r="H12" s="3" t="s">
        <v>11</v>
      </c>
      <c r="I12">
        <f t="shared" si="1"/>
        <v>6</v>
      </c>
      <c r="J12">
        <f t="shared" si="2"/>
        <v>10</v>
      </c>
      <c r="K12">
        <f t="shared" si="3"/>
        <v>15</v>
      </c>
    </row>
    <row r="13" spans="1:12" x14ac:dyDescent="0.15">
      <c r="A13" s="3" t="s">
        <v>12</v>
      </c>
      <c r="B13" t="str">
        <f>MID(A13,I13+1,3)</f>
        <v>100</v>
      </c>
      <c r="C13" t="str">
        <f>MID(A13,J13+1,2)</f>
        <v>04</v>
      </c>
      <c r="D13" s="4" t="str">
        <f t="shared" si="0"/>
        <v>S</v>
      </c>
      <c r="H13" s="3" t="s">
        <v>12</v>
      </c>
      <c r="I13">
        <f t="shared" si="1"/>
        <v>6</v>
      </c>
      <c r="J13">
        <f t="shared" si="2"/>
        <v>10</v>
      </c>
      <c r="K13">
        <f t="shared" si="3"/>
        <v>13</v>
      </c>
    </row>
    <row r="14" spans="1:12" x14ac:dyDescent="0.15">
      <c r="A14" s="3" t="s">
        <v>13</v>
      </c>
      <c r="B14" t="str">
        <f>MID(A14,I14+1,3)</f>
        <v>100</v>
      </c>
      <c r="C14" t="str">
        <f>MID(A14,J14+1,2)</f>
        <v>04</v>
      </c>
      <c r="D14" s="4" t="str">
        <f t="shared" si="0"/>
        <v>M</v>
      </c>
      <c r="H14" s="3" t="s">
        <v>13</v>
      </c>
      <c r="I14">
        <f t="shared" si="1"/>
        <v>6</v>
      </c>
      <c r="J14">
        <f t="shared" si="2"/>
        <v>10</v>
      </c>
      <c r="K14">
        <f t="shared" si="3"/>
        <v>13</v>
      </c>
    </row>
    <row r="15" spans="1:12" x14ac:dyDescent="0.15">
      <c r="A15" s="3" t="s">
        <v>14</v>
      </c>
      <c r="B15" t="str">
        <f>MID(A15,I15+1,3)</f>
        <v>100</v>
      </c>
      <c r="C15" t="str">
        <f>MID(A15,J15+1,2)</f>
        <v>04</v>
      </c>
      <c r="D15" s="4" t="str">
        <f t="shared" si="0"/>
        <v>L</v>
      </c>
      <c r="H15" s="3" t="s">
        <v>14</v>
      </c>
      <c r="I15">
        <f t="shared" si="1"/>
        <v>6</v>
      </c>
      <c r="J15">
        <f t="shared" si="2"/>
        <v>10</v>
      </c>
      <c r="K15">
        <f t="shared" si="3"/>
        <v>13</v>
      </c>
    </row>
    <row r="16" spans="1:12" x14ac:dyDescent="0.15">
      <c r="A16" s="3" t="s">
        <v>15</v>
      </c>
      <c r="B16" t="str">
        <f>MID(A16,I16+1,3)</f>
        <v>100</v>
      </c>
      <c r="C16" t="str">
        <f>MID(A16,J16+1,2)</f>
        <v>04</v>
      </c>
      <c r="D16" s="4" t="str">
        <f t="shared" si="0"/>
        <v>XL</v>
      </c>
      <c r="H16" s="3" t="s">
        <v>15</v>
      </c>
      <c r="I16">
        <f t="shared" si="1"/>
        <v>6</v>
      </c>
      <c r="J16">
        <f t="shared" si="2"/>
        <v>10</v>
      </c>
      <c r="K16">
        <f t="shared" si="3"/>
        <v>14</v>
      </c>
    </row>
    <row r="17" spans="1:11" x14ac:dyDescent="0.15">
      <c r="A17" s="3" t="s">
        <v>16</v>
      </c>
      <c r="B17" t="str">
        <f>MID(A17,I17+1,3)</f>
        <v>100</v>
      </c>
      <c r="C17" t="str">
        <f>MID(A17,J17+1,2)</f>
        <v>04</v>
      </c>
      <c r="D17" s="4" t="str">
        <f t="shared" si="0"/>
        <v>XXL</v>
      </c>
      <c r="H17" s="3" t="s">
        <v>16</v>
      </c>
      <c r="I17">
        <f t="shared" si="1"/>
        <v>6</v>
      </c>
      <c r="J17">
        <f t="shared" si="2"/>
        <v>10</v>
      </c>
      <c r="K17">
        <f t="shared" si="3"/>
        <v>15</v>
      </c>
    </row>
    <row r="18" spans="1:11" x14ac:dyDescent="0.15">
      <c r="A18" s="3" t="s">
        <v>17</v>
      </c>
      <c r="B18" t="str">
        <f>MID(A18,I18+1,3)</f>
        <v>100</v>
      </c>
      <c r="C18" t="str">
        <f>MID(A18,J18+1,2)</f>
        <v>02</v>
      </c>
      <c r="D18" s="4" t="str">
        <f t="shared" si="0"/>
        <v>S</v>
      </c>
      <c r="H18" s="3" t="s">
        <v>17</v>
      </c>
      <c r="I18">
        <f t="shared" si="1"/>
        <v>6</v>
      </c>
      <c r="J18">
        <f t="shared" si="2"/>
        <v>10</v>
      </c>
      <c r="K18">
        <f t="shared" si="3"/>
        <v>13</v>
      </c>
    </row>
    <row r="19" spans="1:11" x14ac:dyDescent="0.15">
      <c r="A19" s="3" t="s">
        <v>18</v>
      </c>
      <c r="B19" t="str">
        <f>MID(A19,I19+1,3)</f>
        <v>100</v>
      </c>
      <c r="C19" t="str">
        <f>MID(A19,J19+1,2)</f>
        <v>02</v>
      </c>
      <c r="D19" s="4" t="str">
        <f t="shared" si="0"/>
        <v>M</v>
      </c>
      <c r="H19" s="3" t="s">
        <v>18</v>
      </c>
      <c r="I19">
        <f t="shared" si="1"/>
        <v>6</v>
      </c>
      <c r="J19">
        <f t="shared" si="2"/>
        <v>10</v>
      </c>
      <c r="K19">
        <f t="shared" si="3"/>
        <v>13</v>
      </c>
    </row>
    <row r="20" spans="1:11" x14ac:dyDescent="0.15">
      <c r="A20" s="3" t="s">
        <v>19</v>
      </c>
      <c r="B20" t="str">
        <f>MID(A20,I20+1,3)</f>
        <v>100</v>
      </c>
      <c r="C20" t="str">
        <f>MID(A20,J20+1,2)</f>
        <v>02</v>
      </c>
      <c r="D20" s="4" t="str">
        <f t="shared" si="0"/>
        <v>L</v>
      </c>
      <c r="H20" s="3" t="s">
        <v>19</v>
      </c>
      <c r="I20">
        <f t="shared" si="1"/>
        <v>6</v>
      </c>
      <c r="J20">
        <f t="shared" si="2"/>
        <v>10</v>
      </c>
      <c r="K20">
        <f t="shared" si="3"/>
        <v>13</v>
      </c>
    </row>
    <row r="21" spans="1:11" x14ac:dyDescent="0.15">
      <c r="A21" s="3" t="s">
        <v>20</v>
      </c>
      <c r="B21" t="str">
        <f>MID(A21,I21+1,3)</f>
        <v>100</v>
      </c>
      <c r="C21" t="str">
        <f>MID(A21,J21+1,2)</f>
        <v>02</v>
      </c>
      <c r="D21" s="4" t="str">
        <f t="shared" si="0"/>
        <v>XL</v>
      </c>
      <c r="H21" s="3" t="s">
        <v>20</v>
      </c>
      <c r="I21">
        <f t="shared" si="1"/>
        <v>6</v>
      </c>
      <c r="J21">
        <f t="shared" si="2"/>
        <v>10</v>
      </c>
      <c r="K21">
        <f t="shared" si="3"/>
        <v>14</v>
      </c>
    </row>
    <row r="22" spans="1:11" x14ac:dyDescent="0.15">
      <c r="A22" s="3" t="s">
        <v>21</v>
      </c>
      <c r="B22" t="str">
        <f>MID(A22,I22+1,3)</f>
        <v>100</v>
      </c>
      <c r="C22" t="str">
        <f>MID(A22,J22+1,2)</f>
        <v>02</v>
      </c>
      <c r="D22" s="4" t="str">
        <f t="shared" si="0"/>
        <v>XXL</v>
      </c>
      <c r="H22" s="3" t="s">
        <v>21</v>
      </c>
      <c r="I22">
        <f t="shared" si="1"/>
        <v>6</v>
      </c>
      <c r="J22">
        <f t="shared" si="2"/>
        <v>10</v>
      </c>
      <c r="K22">
        <f t="shared" si="3"/>
        <v>15</v>
      </c>
    </row>
    <row r="23" spans="1:11" x14ac:dyDescent="0.15">
      <c r="A23" s="3" t="s">
        <v>22</v>
      </c>
      <c r="B23" t="str">
        <f>MID(A23,I23+1,3)</f>
        <v>100</v>
      </c>
      <c r="C23" t="str">
        <f>MID(A23,J23+1,2)</f>
        <v>01</v>
      </c>
      <c r="D23" s="4" t="str">
        <f t="shared" si="0"/>
        <v>S</v>
      </c>
      <c r="H23" s="3" t="s">
        <v>22</v>
      </c>
      <c r="I23">
        <f t="shared" si="1"/>
        <v>6</v>
      </c>
      <c r="J23">
        <f t="shared" si="2"/>
        <v>10</v>
      </c>
      <c r="K23">
        <f t="shared" si="3"/>
        <v>13</v>
      </c>
    </row>
    <row r="24" spans="1:11" x14ac:dyDescent="0.15">
      <c r="A24" s="3" t="s">
        <v>23</v>
      </c>
      <c r="B24" t="str">
        <f>MID(A24,I24+1,3)</f>
        <v>100</v>
      </c>
      <c r="C24" t="str">
        <f>MID(A24,J24+1,2)</f>
        <v>01</v>
      </c>
      <c r="D24" s="4" t="str">
        <f t="shared" si="0"/>
        <v>M</v>
      </c>
      <c r="H24" s="3" t="s">
        <v>23</v>
      </c>
      <c r="I24">
        <f t="shared" si="1"/>
        <v>6</v>
      </c>
      <c r="J24">
        <f t="shared" si="2"/>
        <v>10</v>
      </c>
      <c r="K24">
        <f t="shared" si="3"/>
        <v>13</v>
      </c>
    </row>
    <row r="25" spans="1:11" x14ac:dyDescent="0.15">
      <c r="A25" s="3" t="s">
        <v>24</v>
      </c>
      <c r="B25" t="str">
        <f>MID(A25,I25+1,3)</f>
        <v>100</v>
      </c>
      <c r="C25" t="str">
        <f>MID(A25,J25+1,2)</f>
        <v>01</v>
      </c>
      <c r="D25" s="4" t="str">
        <f t="shared" si="0"/>
        <v>L</v>
      </c>
      <c r="H25" s="3" t="s">
        <v>24</v>
      </c>
      <c r="I25">
        <f t="shared" si="1"/>
        <v>6</v>
      </c>
      <c r="J25">
        <f t="shared" si="2"/>
        <v>10</v>
      </c>
      <c r="K25">
        <f t="shared" si="3"/>
        <v>13</v>
      </c>
    </row>
    <row r="26" spans="1:11" x14ac:dyDescent="0.15">
      <c r="A26" s="3" t="s">
        <v>25</v>
      </c>
      <c r="B26" t="str">
        <f>MID(A26,I26+1,3)</f>
        <v>100</v>
      </c>
      <c r="C26" t="str">
        <f>MID(A26,J26+1,2)</f>
        <v>01</v>
      </c>
      <c r="D26" s="4" t="str">
        <f t="shared" si="0"/>
        <v>XL</v>
      </c>
      <c r="H26" s="3" t="s">
        <v>25</v>
      </c>
      <c r="I26">
        <f t="shared" si="1"/>
        <v>6</v>
      </c>
      <c r="J26">
        <f t="shared" si="2"/>
        <v>10</v>
      </c>
      <c r="K26">
        <f t="shared" si="3"/>
        <v>14</v>
      </c>
    </row>
    <row r="27" spans="1:11" x14ac:dyDescent="0.15">
      <c r="A27" s="3" t="s">
        <v>26</v>
      </c>
      <c r="B27" t="str">
        <f>MID(A27,I27+1,3)</f>
        <v>100</v>
      </c>
      <c r="C27" t="str">
        <f>MID(A27,J27+1,2)</f>
        <v>01</v>
      </c>
      <c r="D27" s="4" t="str">
        <f t="shared" si="0"/>
        <v>XXL</v>
      </c>
      <c r="H27" s="3" t="s">
        <v>26</v>
      </c>
      <c r="I27">
        <f t="shared" si="1"/>
        <v>6</v>
      </c>
      <c r="J27">
        <f t="shared" si="2"/>
        <v>10</v>
      </c>
      <c r="K27">
        <f t="shared" si="3"/>
        <v>15</v>
      </c>
    </row>
    <row r="28" spans="1:11" x14ac:dyDescent="0.15">
      <c r="A28" s="3" t="s">
        <v>27</v>
      </c>
      <c r="B28" t="str">
        <f>MID(A28,I28+1,3)</f>
        <v>100</v>
      </c>
      <c r="C28" t="str">
        <f>MID(A28,J28+1,2)</f>
        <v>25</v>
      </c>
      <c r="D28" s="4" t="str">
        <f t="shared" si="0"/>
        <v>M</v>
      </c>
      <c r="H28" s="3" t="s">
        <v>27</v>
      </c>
      <c r="I28">
        <f t="shared" si="1"/>
        <v>6</v>
      </c>
      <c r="J28">
        <f t="shared" si="2"/>
        <v>10</v>
      </c>
      <c r="K28">
        <f t="shared" si="3"/>
        <v>13</v>
      </c>
    </row>
    <row r="29" spans="1:11" x14ac:dyDescent="0.15">
      <c r="A29" s="3" t="s">
        <v>28</v>
      </c>
      <c r="B29" t="str">
        <f>MID(A29,I29+1,3)</f>
        <v>100</v>
      </c>
      <c r="C29" t="str">
        <f>MID(A29,J29+1,2)</f>
        <v>25</v>
      </c>
      <c r="D29" s="4" t="str">
        <f t="shared" si="0"/>
        <v>L</v>
      </c>
      <c r="H29" s="3" t="s">
        <v>28</v>
      </c>
      <c r="I29">
        <f t="shared" si="1"/>
        <v>6</v>
      </c>
      <c r="J29">
        <f t="shared" si="2"/>
        <v>10</v>
      </c>
      <c r="K29">
        <f t="shared" si="3"/>
        <v>13</v>
      </c>
    </row>
    <row r="30" spans="1:11" x14ac:dyDescent="0.15">
      <c r="A30" s="3" t="s">
        <v>29</v>
      </c>
      <c r="B30" t="str">
        <f>MID(A30,I30+1,3)</f>
        <v>100</v>
      </c>
      <c r="C30" t="str">
        <f>MID(A30,J30+1,2)</f>
        <v>25</v>
      </c>
      <c r="D30" s="4" t="str">
        <f t="shared" si="0"/>
        <v>XL</v>
      </c>
      <c r="H30" s="3" t="s">
        <v>29</v>
      </c>
      <c r="I30">
        <f t="shared" si="1"/>
        <v>6</v>
      </c>
      <c r="J30">
        <f t="shared" si="2"/>
        <v>10</v>
      </c>
      <c r="K30">
        <f t="shared" si="3"/>
        <v>14</v>
      </c>
    </row>
    <row r="31" spans="1:11" x14ac:dyDescent="0.15">
      <c r="A31" s="3" t="s">
        <v>30</v>
      </c>
      <c r="B31" t="str">
        <f>MID(A31,I31+1,3)</f>
        <v>100</v>
      </c>
      <c r="C31" t="str">
        <f>MID(A31,J31+1,2)</f>
        <v>25</v>
      </c>
      <c r="D31" s="4" t="str">
        <f t="shared" si="0"/>
        <v>XXL</v>
      </c>
      <c r="H31" s="3" t="s">
        <v>30</v>
      </c>
      <c r="I31">
        <f t="shared" si="1"/>
        <v>6</v>
      </c>
      <c r="J31">
        <f t="shared" si="2"/>
        <v>10</v>
      </c>
      <c r="K31">
        <f t="shared" si="3"/>
        <v>15</v>
      </c>
    </row>
    <row r="32" spans="1:11" x14ac:dyDescent="0.15">
      <c r="A32" s="3" t="s">
        <v>31</v>
      </c>
      <c r="B32" t="str">
        <f>MID(A32,I32+1,3)</f>
        <v>100</v>
      </c>
      <c r="C32" t="str">
        <f>MID(A32,J32+1,2)</f>
        <v>11</v>
      </c>
      <c r="D32" s="4" t="str">
        <f t="shared" si="0"/>
        <v>M</v>
      </c>
      <c r="H32" s="3" t="s">
        <v>31</v>
      </c>
      <c r="I32">
        <f t="shared" si="1"/>
        <v>6</v>
      </c>
      <c r="J32">
        <f t="shared" si="2"/>
        <v>10</v>
      </c>
      <c r="K32">
        <f t="shared" si="3"/>
        <v>13</v>
      </c>
    </row>
    <row r="33" spans="1:11" x14ac:dyDescent="0.15">
      <c r="A33" s="3" t="s">
        <v>32</v>
      </c>
      <c r="B33" t="str">
        <f>MID(A33,I33+1,3)</f>
        <v>100</v>
      </c>
      <c r="C33" t="str">
        <f>MID(A33,J33+1,2)</f>
        <v>11</v>
      </c>
      <c r="D33" s="4" t="str">
        <f t="shared" si="0"/>
        <v>L</v>
      </c>
      <c r="H33" s="3" t="s">
        <v>32</v>
      </c>
      <c r="I33">
        <f t="shared" si="1"/>
        <v>6</v>
      </c>
      <c r="J33">
        <f t="shared" si="2"/>
        <v>10</v>
      </c>
      <c r="K33">
        <f t="shared" si="3"/>
        <v>13</v>
      </c>
    </row>
    <row r="34" spans="1:11" x14ac:dyDescent="0.15">
      <c r="A34" s="3" t="s">
        <v>33</v>
      </c>
      <c r="B34" t="str">
        <f>MID(A34,I34+1,3)</f>
        <v>100</v>
      </c>
      <c r="C34" t="str">
        <f>MID(A34,J34+1,2)</f>
        <v>11</v>
      </c>
      <c r="D34" s="4" t="str">
        <f t="shared" si="0"/>
        <v>XL</v>
      </c>
      <c r="H34" s="3" t="s">
        <v>33</v>
      </c>
      <c r="I34">
        <f t="shared" si="1"/>
        <v>6</v>
      </c>
      <c r="J34">
        <f t="shared" si="2"/>
        <v>10</v>
      </c>
      <c r="K34">
        <f t="shared" si="3"/>
        <v>14</v>
      </c>
    </row>
    <row r="35" spans="1:11" x14ac:dyDescent="0.15">
      <c r="A35" s="3" t="s">
        <v>34</v>
      </c>
      <c r="B35" t="str">
        <f>MID(A35,I35+1,3)</f>
        <v>100</v>
      </c>
      <c r="C35" t="str">
        <f>MID(A35,J35+1,2)</f>
        <v>11</v>
      </c>
      <c r="D35" s="4" t="str">
        <f t="shared" si="0"/>
        <v>XXL</v>
      </c>
      <c r="H35" s="3" t="s">
        <v>34</v>
      </c>
      <c r="I35">
        <f t="shared" si="1"/>
        <v>6</v>
      </c>
      <c r="J35">
        <f t="shared" si="2"/>
        <v>10</v>
      </c>
      <c r="K35">
        <f t="shared" si="3"/>
        <v>15</v>
      </c>
    </row>
    <row r="36" spans="1:11" x14ac:dyDescent="0.15">
      <c r="A36" s="3" t="s">
        <v>35</v>
      </c>
      <c r="B36" t="str">
        <f>MID(A36,I36+1,3)</f>
        <v>125</v>
      </c>
      <c r="C36" t="str">
        <f>MID(A36,J36+1,2)</f>
        <v>06</v>
      </c>
      <c r="D36" s="4" t="str">
        <f t="shared" si="0"/>
        <v>M</v>
      </c>
      <c r="H36" s="3" t="s">
        <v>35</v>
      </c>
      <c r="I36">
        <f t="shared" si="1"/>
        <v>6</v>
      </c>
      <c r="J36">
        <f t="shared" si="2"/>
        <v>10</v>
      </c>
      <c r="K36">
        <f t="shared" si="3"/>
        <v>13</v>
      </c>
    </row>
    <row r="37" spans="1:11" x14ac:dyDescent="0.15">
      <c r="A37" s="3" t="s">
        <v>36</v>
      </c>
      <c r="B37" t="str">
        <f>MID(A37,I37+1,3)</f>
        <v>125</v>
      </c>
      <c r="C37" t="str">
        <f>MID(A37,J37+1,2)</f>
        <v>06</v>
      </c>
      <c r="D37" s="4" t="str">
        <f t="shared" si="0"/>
        <v>L</v>
      </c>
      <c r="H37" s="3" t="s">
        <v>36</v>
      </c>
      <c r="I37">
        <f t="shared" si="1"/>
        <v>6</v>
      </c>
      <c r="J37">
        <f t="shared" si="2"/>
        <v>10</v>
      </c>
      <c r="K37">
        <f t="shared" si="3"/>
        <v>13</v>
      </c>
    </row>
    <row r="38" spans="1:11" x14ac:dyDescent="0.15">
      <c r="A38" s="3" t="s">
        <v>37</v>
      </c>
      <c r="B38" t="str">
        <f>MID(A38,I38+1,3)</f>
        <v>125</v>
      </c>
      <c r="C38" t="str">
        <f>MID(A38,J38+1,2)</f>
        <v>06</v>
      </c>
      <c r="D38" s="4" t="str">
        <f t="shared" si="0"/>
        <v>XL</v>
      </c>
      <c r="H38" s="3" t="s">
        <v>37</v>
      </c>
      <c r="I38">
        <f t="shared" si="1"/>
        <v>6</v>
      </c>
      <c r="J38">
        <f t="shared" si="2"/>
        <v>10</v>
      </c>
      <c r="K38">
        <f t="shared" si="3"/>
        <v>14</v>
      </c>
    </row>
    <row r="39" spans="1:11" x14ac:dyDescent="0.15">
      <c r="A39" s="3" t="s">
        <v>38</v>
      </c>
      <c r="B39" t="str">
        <f>MID(A39,I39+1,3)</f>
        <v>125</v>
      </c>
      <c r="C39" t="str">
        <f>MID(A39,J39+1,2)</f>
        <v>06</v>
      </c>
      <c r="D39" s="4" t="str">
        <f t="shared" si="0"/>
        <v>XXL</v>
      </c>
      <c r="H39" s="3" t="s">
        <v>38</v>
      </c>
      <c r="I39">
        <f t="shared" si="1"/>
        <v>6</v>
      </c>
      <c r="J39">
        <f t="shared" si="2"/>
        <v>10</v>
      </c>
      <c r="K39">
        <f t="shared" si="3"/>
        <v>15</v>
      </c>
    </row>
    <row r="40" spans="1:11" x14ac:dyDescent="0.15">
      <c r="A40" s="3" t="s">
        <v>39</v>
      </c>
      <c r="B40" t="str">
        <f>MID(A40,I40+1,3)</f>
        <v>125</v>
      </c>
      <c r="C40" t="str">
        <f>MID(A40,J40+1,2)</f>
        <v>05</v>
      </c>
      <c r="D40" s="4" t="str">
        <f t="shared" si="0"/>
        <v>M</v>
      </c>
      <c r="H40" s="3" t="s">
        <v>39</v>
      </c>
      <c r="I40">
        <f t="shared" si="1"/>
        <v>6</v>
      </c>
      <c r="J40">
        <f t="shared" si="2"/>
        <v>10</v>
      </c>
      <c r="K40">
        <f t="shared" si="3"/>
        <v>13</v>
      </c>
    </row>
    <row r="41" spans="1:11" x14ac:dyDescent="0.15">
      <c r="A41" s="3" t="s">
        <v>40</v>
      </c>
      <c r="B41" t="str">
        <f>MID(A41,I41+1,3)</f>
        <v>125</v>
      </c>
      <c r="C41" t="str">
        <f>MID(A41,J41+1,2)</f>
        <v>05</v>
      </c>
      <c r="D41" s="4" t="str">
        <f t="shared" si="0"/>
        <v>L</v>
      </c>
      <c r="H41" s="3" t="s">
        <v>40</v>
      </c>
      <c r="I41">
        <f t="shared" si="1"/>
        <v>6</v>
      </c>
      <c r="J41">
        <f>FIND("-",A41,1)</f>
        <v>10</v>
      </c>
      <c r="K41">
        <f t="shared" si="3"/>
        <v>13</v>
      </c>
    </row>
    <row r="42" spans="1:11" x14ac:dyDescent="0.15">
      <c r="A42" s="3" t="s">
        <v>41</v>
      </c>
      <c r="B42" t="str">
        <f>MID(A42,I42+1,3)</f>
        <v>125</v>
      </c>
      <c r="C42" t="str">
        <f>MID(A42,J42+1,2)</f>
        <v>05</v>
      </c>
      <c r="D42" s="4" t="str">
        <f t="shared" si="0"/>
        <v>XL</v>
      </c>
      <c r="H42" s="3" t="s">
        <v>41</v>
      </c>
      <c r="I42">
        <f t="shared" si="1"/>
        <v>6</v>
      </c>
      <c r="J42">
        <f t="shared" si="2"/>
        <v>10</v>
      </c>
      <c r="K42">
        <f t="shared" si="3"/>
        <v>14</v>
      </c>
    </row>
    <row r="43" spans="1:11" x14ac:dyDescent="0.15">
      <c r="A43" s="3" t="s">
        <v>42</v>
      </c>
      <c r="B43" t="str">
        <f>MID(A43,I43+1,3)</f>
        <v>125</v>
      </c>
      <c r="C43" t="str">
        <f>MID(A43,J43+1,2)</f>
        <v>05</v>
      </c>
      <c r="D43" s="4" t="str">
        <f t="shared" si="0"/>
        <v>XXL</v>
      </c>
      <c r="H43" s="3" t="s">
        <v>42</v>
      </c>
      <c r="I43">
        <f t="shared" si="1"/>
        <v>6</v>
      </c>
      <c r="J43">
        <f t="shared" si="2"/>
        <v>10</v>
      </c>
      <c r="K43">
        <f t="shared" si="3"/>
        <v>15</v>
      </c>
    </row>
    <row r="44" spans="1:11" x14ac:dyDescent="0.15">
      <c r="A44" s="3" t="s">
        <v>43</v>
      </c>
      <c r="B44" t="str">
        <f>MID(A44,I44+1,3)</f>
        <v>125</v>
      </c>
      <c r="C44" t="str">
        <f>MID(A44,J44+1,2)</f>
        <v>04</v>
      </c>
      <c r="D44" s="4" t="str">
        <f t="shared" si="0"/>
        <v>M</v>
      </c>
      <c r="H44" s="3" t="s">
        <v>43</v>
      </c>
      <c r="I44">
        <f t="shared" si="1"/>
        <v>6</v>
      </c>
      <c r="J44">
        <f t="shared" si="2"/>
        <v>10</v>
      </c>
      <c r="K44">
        <f t="shared" si="3"/>
        <v>13</v>
      </c>
    </row>
    <row r="45" spans="1:11" x14ac:dyDescent="0.15">
      <c r="A45" s="3" t="s">
        <v>44</v>
      </c>
      <c r="B45" t="str">
        <f>MID(A45,I45+1,3)</f>
        <v>125</v>
      </c>
      <c r="C45" t="str">
        <f>MID(A45,J45+1,2)</f>
        <v>04</v>
      </c>
      <c r="D45" s="4" t="str">
        <f t="shared" si="0"/>
        <v>L</v>
      </c>
      <c r="H45" s="3" t="s">
        <v>44</v>
      </c>
      <c r="I45">
        <f t="shared" si="1"/>
        <v>6</v>
      </c>
      <c r="J45">
        <f t="shared" si="2"/>
        <v>10</v>
      </c>
      <c r="K45">
        <f t="shared" si="3"/>
        <v>13</v>
      </c>
    </row>
    <row r="46" spans="1:11" x14ac:dyDescent="0.15">
      <c r="A46" s="3" t="s">
        <v>45</v>
      </c>
      <c r="B46" t="str">
        <f>MID(A46,I46+1,3)</f>
        <v>125</v>
      </c>
      <c r="C46" t="str">
        <f>MID(A46,J46+1,2)</f>
        <v>04</v>
      </c>
      <c r="D46" s="4" t="str">
        <f t="shared" si="0"/>
        <v>XL</v>
      </c>
      <c r="H46" s="3" t="s">
        <v>45</v>
      </c>
      <c r="I46">
        <f t="shared" si="1"/>
        <v>6</v>
      </c>
      <c r="J46">
        <f t="shared" si="2"/>
        <v>10</v>
      </c>
      <c r="K46">
        <f t="shared" si="3"/>
        <v>14</v>
      </c>
    </row>
    <row r="47" spans="1:11" x14ac:dyDescent="0.15">
      <c r="A47" s="3" t="s">
        <v>46</v>
      </c>
      <c r="B47" t="str">
        <f>MID(A47,I47+1,3)</f>
        <v>125</v>
      </c>
      <c r="C47" t="str">
        <f>MID(A47,J47+1,2)</f>
        <v>04</v>
      </c>
      <c r="D47" s="4" t="str">
        <f t="shared" si="0"/>
        <v>XXL</v>
      </c>
      <c r="H47" s="3" t="s">
        <v>46</v>
      </c>
      <c r="I47">
        <f t="shared" si="1"/>
        <v>6</v>
      </c>
      <c r="J47">
        <f t="shared" si="2"/>
        <v>10</v>
      </c>
      <c r="K47">
        <f t="shared" si="3"/>
        <v>15</v>
      </c>
    </row>
    <row r="48" spans="1:11" x14ac:dyDescent="0.15">
      <c r="A48" s="3" t="s">
        <v>47</v>
      </c>
      <c r="B48" t="str">
        <f>MID(A48,I48+1,3)</f>
        <v>125</v>
      </c>
      <c r="C48" t="str">
        <f>MID(A48,J48+1,2)</f>
        <v>02</v>
      </c>
      <c r="D48" s="4" t="str">
        <f t="shared" si="0"/>
        <v>S</v>
      </c>
      <c r="H48" s="3" t="s">
        <v>47</v>
      </c>
      <c r="I48">
        <f t="shared" si="1"/>
        <v>6</v>
      </c>
      <c r="J48">
        <f t="shared" si="2"/>
        <v>10</v>
      </c>
      <c r="K48">
        <f t="shared" si="3"/>
        <v>13</v>
      </c>
    </row>
    <row r="49" spans="1:11" x14ac:dyDescent="0.15">
      <c r="A49" s="3" t="s">
        <v>48</v>
      </c>
      <c r="B49" t="str">
        <f>MID(A49,I49+1,3)</f>
        <v>125</v>
      </c>
      <c r="C49" t="str">
        <f>MID(A49,J49+1,2)</f>
        <v>02</v>
      </c>
      <c r="D49" s="4" t="str">
        <f t="shared" si="0"/>
        <v>M</v>
      </c>
      <c r="H49" s="3" t="s">
        <v>48</v>
      </c>
      <c r="I49">
        <f t="shared" si="1"/>
        <v>6</v>
      </c>
      <c r="J49">
        <f t="shared" si="2"/>
        <v>10</v>
      </c>
      <c r="K49">
        <f t="shared" si="3"/>
        <v>13</v>
      </c>
    </row>
    <row r="50" spans="1:11" x14ac:dyDescent="0.15">
      <c r="A50" s="3" t="s">
        <v>49</v>
      </c>
      <c r="B50" t="str">
        <f>MID(A50,I50+1,3)</f>
        <v>125</v>
      </c>
      <c r="C50" t="str">
        <f>MID(A50,J50+1,2)</f>
        <v>02</v>
      </c>
      <c r="D50" s="4" t="str">
        <f t="shared" si="0"/>
        <v>L</v>
      </c>
      <c r="H50" s="3" t="s">
        <v>49</v>
      </c>
      <c r="I50">
        <f t="shared" si="1"/>
        <v>6</v>
      </c>
      <c r="J50">
        <f t="shared" si="2"/>
        <v>10</v>
      </c>
      <c r="K50">
        <f t="shared" si="3"/>
        <v>13</v>
      </c>
    </row>
    <row r="51" spans="1:11" x14ac:dyDescent="0.15">
      <c r="A51" s="3" t="s">
        <v>50</v>
      </c>
      <c r="B51" t="str">
        <f>MID(A51,I51+1,3)</f>
        <v>125</v>
      </c>
      <c r="C51" t="str">
        <f>MID(A51,J51+1,2)</f>
        <v>02</v>
      </c>
      <c r="D51" s="4" t="str">
        <f t="shared" si="0"/>
        <v>XL</v>
      </c>
      <c r="H51" s="3" t="s">
        <v>50</v>
      </c>
      <c r="I51">
        <f t="shared" si="1"/>
        <v>6</v>
      </c>
      <c r="J51">
        <f t="shared" si="2"/>
        <v>10</v>
      </c>
      <c r="K51">
        <f t="shared" si="3"/>
        <v>14</v>
      </c>
    </row>
    <row r="52" spans="1:11" x14ac:dyDescent="0.15">
      <c r="A52" s="3" t="s">
        <v>51</v>
      </c>
      <c r="B52" t="str">
        <f>MID(A52,I52+1,3)</f>
        <v>125</v>
      </c>
      <c r="C52" t="str">
        <f>MID(A52,J52+1,2)</f>
        <v>02</v>
      </c>
      <c r="D52" s="4" t="str">
        <f t="shared" si="0"/>
        <v>XXL</v>
      </c>
      <c r="H52" s="3" t="s">
        <v>51</v>
      </c>
      <c r="I52">
        <f t="shared" si="1"/>
        <v>6</v>
      </c>
      <c r="J52">
        <f t="shared" si="2"/>
        <v>10</v>
      </c>
      <c r="K52">
        <f t="shared" si="3"/>
        <v>15</v>
      </c>
    </row>
    <row r="53" spans="1:11" x14ac:dyDescent="0.15">
      <c r="A53" s="3" t="s">
        <v>52</v>
      </c>
      <c r="B53" t="str">
        <f>MID(A53,I53+1,3)</f>
        <v>125</v>
      </c>
      <c r="C53" t="str">
        <f>MID(A53,J53+1,2)</f>
        <v>25</v>
      </c>
      <c r="D53" s="4" t="str">
        <f t="shared" si="0"/>
        <v>S</v>
      </c>
      <c r="H53" s="3" t="s">
        <v>52</v>
      </c>
      <c r="I53">
        <f t="shared" si="1"/>
        <v>6</v>
      </c>
      <c r="J53">
        <f t="shared" si="2"/>
        <v>10</v>
      </c>
      <c r="K53">
        <f t="shared" si="3"/>
        <v>13</v>
      </c>
    </row>
    <row r="54" spans="1:11" x14ac:dyDescent="0.15">
      <c r="A54" s="3" t="s">
        <v>53</v>
      </c>
      <c r="B54" t="str">
        <f>MID(A54,I54+1,3)</f>
        <v>125</v>
      </c>
      <c r="C54" t="str">
        <f>MID(A54,J54+1,2)</f>
        <v>25</v>
      </c>
      <c r="D54" s="4" t="str">
        <f t="shared" si="0"/>
        <v>M</v>
      </c>
      <c r="H54" s="3" t="s">
        <v>53</v>
      </c>
      <c r="I54">
        <f t="shared" si="1"/>
        <v>6</v>
      </c>
      <c r="J54">
        <f t="shared" si="2"/>
        <v>10</v>
      </c>
      <c r="K54">
        <f t="shared" si="3"/>
        <v>13</v>
      </c>
    </row>
    <row r="55" spans="1:11" x14ac:dyDescent="0.15">
      <c r="A55" s="3" t="s">
        <v>54</v>
      </c>
      <c r="B55" t="str">
        <f>MID(A55,I55+1,3)</f>
        <v>125</v>
      </c>
      <c r="C55" t="str">
        <f>MID(A55,J55+1,2)</f>
        <v>25</v>
      </c>
      <c r="D55" s="4" t="str">
        <f t="shared" si="0"/>
        <v>L</v>
      </c>
      <c r="H55" s="3" t="s">
        <v>54</v>
      </c>
      <c r="I55">
        <f t="shared" si="1"/>
        <v>6</v>
      </c>
      <c r="J55">
        <f t="shared" si="2"/>
        <v>10</v>
      </c>
      <c r="K55">
        <f t="shared" si="3"/>
        <v>13</v>
      </c>
    </row>
    <row r="56" spans="1:11" x14ac:dyDescent="0.15">
      <c r="A56" s="3" t="s">
        <v>55</v>
      </c>
      <c r="B56" t="str">
        <f>MID(A56,I56+1,3)</f>
        <v>125</v>
      </c>
      <c r="C56" t="str">
        <f>MID(A56,J56+1,2)</f>
        <v>25</v>
      </c>
      <c r="D56" s="4" t="str">
        <f t="shared" si="0"/>
        <v>XL</v>
      </c>
      <c r="H56" s="3" t="s">
        <v>55</v>
      </c>
      <c r="I56">
        <f t="shared" si="1"/>
        <v>6</v>
      </c>
      <c r="J56">
        <f t="shared" si="2"/>
        <v>10</v>
      </c>
      <c r="K56">
        <f t="shared" si="3"/>
        <v>14</v>
      </c>
    </row>
    <row r="57" spans="1:11" x14ac:dyDescent="0.15">
      <c r="A57" s="3" t="s">
        <v>56</v>
      </c>
      <c r="B57" t="str">
        <f>MID(A57,I57+1,3)</f>
        <v>125</v>
      </c>
      <c r="C57" t="str">
        <f>MID(A57,J57+1,2)</f>
        <v>11</v>
      </c>
      <c r="D57" s="4" t="str">
        <f t="shared" si="0"/>
        <v>M</v>
      </c>
      <c r="H57" s="3" t="s">
        <v>56</v>
      </c>
      <c r="I57">
        <f t="shared" si="1"/>
        <v>6</v>
      </c>
      <c r="J57">
        <f t="shared" si="2"/>
        <v>10</v>
      </c>
      <c r="K57">
        <f t="shared" si="3"/>
        <v>13</v>
      </c>
    </row>
    <row r="58" spans="1:11" x14ac:dyDescent="0.15">
      <c r="A58" s="3" t="s">
        <v>57</v>
      </c>
      <c r="B58" t="str">
        <f>MID(A58,I58+1,3)</f>
        <v>125</v>
      </c>
      <c r="C58" t="str">
        <f>MID(A58,J58+1,2)</f>
        <v>11</v>
      </c>
      <c r="D58" s="4" t="str">
        <f t="shared" si="0"/>
        <v>L</v>
      </c>
      <c r="H58" s="3" t="s">
        <v>57</v>
      </c>
      <c r="I58">
        <f t="shared" si="1"/>
        <v>6</v>
      </c>
      <c r="J58">
        <f>FIND("-",A58,1)</f>
        <v>10</v>
      </c>
      <c r="K58">
        <f t="shared" si="3"/>
        <v>13</v>
      </c>
    </row>
    <row r="59" spans="1:11" x14ac:dyDescent="0.15">
      <c r="A59" s="3" t="s">
        <v>58</v>
      </c>
      <c r="B59" t="str">
        <f>MID(A59,I59+1,3)</f>
        <v>125</v>
      </c>
      <c r="C59" t="str">
        <f>MID(A59,J59+1,2)</f>
        <v>11</v>
      </c>
      <c r="D59" s="4" t="str">
        <f t="shared" si="0"/>
        <v>XL</v>
      </c>
      <c r="H59" s="3" t="s">
        <v>58</v>
      </c>
      <c r="I59">
        <f t="shared" si="1"/>
        <v>6</v>
      </c>
      <c r="J59">
        <f t="shared" si="2"/>
        <v>10</v>
      </c>
      <c r="K59">
        <f t="shared" si="3"/>
        <v>14</v>
      </c>
    </row>
    <row r="60" spans="1:11" x14ac:dyDescent="0.15">
      <c r="A60" s="3" t="s">
        <v>59</v>
      </c>
      <c r="B60" t="str">
        <f>MID(A60,I60+1,3)</f>
        <v>125</v>
      </c>
      <c r="C60" t="str">
        <f>MID(A60,J60+1,2)</f>
        <v>11</v>
      </c>
      <c r="D60" s="4" t="str">
        <f t="shared" si="0"/>
        <v>XXL</v>
      </c>
      <c r="H60" s="3" t="s">
        <v>59</v>
      </c>
      <c r="I60">
        <f t="shared" si="1"/>
        <v>6</v>
      </c>
      <c r="J60">
        <f t="shared" si="2"/>
        <v>10</v>
      </c>
      <c r="K60">
        <f t="shared" si="3"/>
        <v>15</v>
      </c>
    </row>
    <row r="61" spans="1:11" x14ac:dyDescent="0.15">
      <c r="A61" s="3" t="s">
        <v>60</v>
      </c>
      <c r="B61" t="str">
        <f>MID(A61,I61+1,3)</f>
        <v>125</v>
      </c>
      <c r="C61" t="str">
        <f>MID(A61,J61+1,2)</f>
        <v>01</v>
      </c>
      <c r="D61" s="4" t="str">
        <f t="shared" si="0"/>
        <v>S</v>
      </c>
      <c r="H61" s="3" t="s">
        <v>60</v>
      </c>
      <c r="I61">
        <f t="shared" si="1"/>
        <v>6</v>
      </c>
      <c r="J61">
        <f t="shared" si="2"/>
        <v>10</v>
      </c>
      <c r="K61">
        <f t="shared" si="3"/>
        <v>13</v>
      </c>
    </row>
    <row r="62" spans="1:11" x14ac:dyDescent="0.15">
      <c r="A62" s="3" t="s">
        <v>61</v>
      </c>
      <c r="B62" t="str">
        <f>MID(A62,I62+1,3)</f>
        <v>125</v>
      </c>
      <c r="C62" t="str">
        <f>MID(A62,J62+1,2)</f>
        <v>01</v>
      </c>
      <c r="D62" s="4" t="str">
        <f t="shared" si="0"/>
        <v>M</v>
      </c>
      <c r="H62" s="3" t="s">
        <v>61</v>
      </c>
      <c r="I62">
        <f t="shared" si="1"/>
        <v>6</v>
      </c>
      <c r="J62">
        <f t="shared" si="2"/>
        <v>10</v>
      </c>
      <c r="K62">
        <f t="shared" si="3"/>
        <v>13</v>
      </c>
    </row>
    <row r="63" spans="1:11" x14ac:dyDescent="0.15">
      <c r="A63" s="3" t="s">
        <v>62</v>
      </c>
      <c r="B63" t="str">
        <f>MID(A63,I63+1,3)</f>
        <v>125</v>
      </c>
      <c r="C63" t="str">
        <f>MID(A63,J63+1,2)</f>
        <v>01</v>
      </c>
      <c r="D63" s="4" t="str">
        <f t="shared" si="0"/>
        <v>L</v>
      </c>
      <c r="H63" s="3" t="s">
        <v>62</v>
      </c>
      <c r="I63">
        <f t="shared" si="1"/>
        <v>6</v>
      </c>
      <c r="J63">
        <f t="shared" si="2"/>
        <v>10</v>
      </c>
      <c r="K63">
        <f t="shared" si="3"/>
        <v>13</v>
      </c>
    </row>
    <row r="64" spans="1:11" x14ac:dyDescent="0.15">
      <c r="A64" s="3" t="s">
        <v>63</v>
      </c>
      <c r="B64" t="str">
        <f>MID(A64,I64+1,3)</f>
        <v>125</v>
      </c>
      <c r="C64" t="str">
        <f>MID(A64,J64+1,2)</f>
        <v>01</v>
      </c>
      <c r="D64" s="4" t="str">
        <f t="shared" si="0"/>
        <v>XL</v>
      </c>
      <c r="H64" s="3" t="s">
        <v>63</v>
      </c>
      <c r="I64">
        <f t="shared" si="1"/>
        <v>6</v>
      </c>
      <c r="J64">
        <f t="shared" si="2"/>
        <v>10</v>
      </c>
      <c r="K64">
        <f t="shared" si="3"/>
        <v>14</v>
      </c>
    </row>
    <row r="65" spans="1:11" x14ac:dyDescent="0.15">
      <c r="A65" s="3" t="s">
        <v>64</v>
      </c>
      <c r="B65" t="str">
        <f>MID(A65,I65+1,3)</f>
        <v>125</v>
      </c>
      <c r="C65" t="str">
        <f>MID(A65,J65+1,2)</f>
        <v>01</v>
      </c>
      <c r="D65" s="4" t="str">
        <f t="shared" si="0"/>
        <v>XXL</v>
      </c>
      <c r="H65" s="3" t="s">
        <v>64</v>
      </c>
      <c r="I65">
        <f t="shared" si="1"/>
        <v>6</v>
      </c>
      <c r="J65">
        <f t="shared" si="2"/>
        <v>10</v>
      </c>
      <c r="K65">
        <f t="shared" si="3"/>
        <v>15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Props1.xml><?xml version="1.0" encoding="utf-8"?>
<ds:datastoreItem xmlns:ds="http://schemas.openxmlformats.org/officeDocument/2006/customXml" ds:itemID="{EB8C6BCC-B423-4C61-A69E-0D662A42EA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9A4BF1-DF10-4731-AD02-A0A0E66661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AF3592CE-319F-4C64-B035-5865BCC14D94}">
  <ds:schemaRefs>
    <ds:schemaRef ds:uri="http://schemas.microsoft.com/office/2006/metadata/properties"/>
    <ds:schemaRef ds:uri="d1607db4-bd3f-4f82-a312-bf7e283d0a6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PresentationFormat/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Famitha Kadhar Basha</cp:lastModifiedBy>
  <cp:revision/>
  <dcterms:created xsi:type="dcterms:W3CDTF">2006-12-20T20:32:21Z</dcterms:created>
  <dcterms:modified xsi:type="dcterms:W3CDTF">2026-10-22T20:19:29Z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