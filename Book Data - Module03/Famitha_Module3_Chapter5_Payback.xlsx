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user/Downloads/Book Data - Module03/05/Templates/"/>
    </mc:Choice>
  </mc:AlternateContent>
  <xr:revisionPtr revIDLastSave="0" documentId="8_{D6ED91EB-5B19-7A4E-8E0A-8A2F776E7BCF}" xr6:coauthVersionLast="47" xr6:coauthVersionMax="47" xr10:uidLastSave="{00000000-0000-0000-0000-000000000000}"/>
  <bookViews>
    <workbookView xWindow="14080" yWindow="600" windowWidth="14700" windowHeight="13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Growth">Sheet1!$B$2</definedName>
    <definedName name="Initial_investment">Sheet1!$B$3</definedName>
    <definedName name="Year_1_cf">Sheet1!$B$1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C7" i="1"/>
  <c r="C8" i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6" i="1"/>
  <c r="C5" i="1"/>
  <c r="F2" i="1"/>
  <c r="D6" i="1"/>
  <c r="D14" i="1"/>
  <c r="D9" i="1"/>
  <c r="D10" i="1"/>
  <c r="D12" i="1"/>
  <c r="D7" i="1"/>
  <c r="D15" i="1"/>
  <c r="D16" i="1"/>
  <c r="D17" i="1"/>
  <c r="D18" i="1"/>
  <c r="D11" i="1"/>
  <c r="D19" i="1"/>
  <c r="D20" i="1"/>
  <c r="D13" i="1"/>
  <c r="D8" i="1"/>
  <c r="D5" i="1"/>
  <c r="B6" i="1" l="1"/>
  <c r="B7" i="1"/>
  <c r="B8" i="1"/>
  <c r="B9" i="1"/>
  <c r="B10" i="1"/>
  <c r="B11" i="1"/>
  <c r="B12" i="1"/>
  <c r="B13" i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<sst xmlns="http://schemas.openxmlformats.org/spreadsheetml/2006/main" count="9" uniqueCount="8">
  <si>
    <t>Year</t>
  </si>
  <si>
    <t>Growth</t>
  </si>
  <si>
    <t>Payback Period</t>
  </si>
  <si>
    <t>Year 1 cash flow</t>
  </si>
  <si>
    <t>Cumulative  cash flow</t>
  </si>
  <si>
    <t>Annual Cash flow</t>
  </si>
  <si>
    <t>Initial Investment</t>
  </si>
  <si>
    <t>Formula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</si>
</sst>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3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9" fillId="32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3" borderId="1" applyNumberFormat="0" applyAlignment="0" applyProtection="0"/>
    <xf numFmtId="0" fontId="14" fillId="0" borderId="6" applyNumberFormat="0" applyFill="0" applyAlignment="0" applyProtection="0"/>
    <xf numFmtId="0" fontId="15" fillId="34" borderId="0" applyNumberFormat="0" applyBorder="0" applyAlignment="0" applyProtection="0"/>
    <xf numFmtId="0" fontId="2" fillId="35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8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9" fillId="0" borderId="0" xfId="0" applyFont="1"/>
    <xf numFmtId="0" fontId="19" fillId="36" borderId="0" xfId="0" applyFont="1" applyFill="1"/>
    <xf numFmtId="0" fontId="0" fillId="36" borderId="0" xfId="0" applyFill="1"/>
  </cellXfs>
  <cellStyles count="44">
    <cellStyle name="Accent1" xfId="1" builtinId="29" customBuiltin="1"/>
    <cellStyle name="Accent1 - 20%" xfId="2" xr:uid="{00000000-0005-0000-0000-000001000000}"/>
    <cellStyle name="Accent1 - 40%" xfId="3" xr:uid="{00000000-0005-0000-0000-000002000000}"/>
    <cellStyle name="Accent1 - 60%" xfId="4" xr:uid="{00000000-0005-0000-0000-000003000000}"/>
    <cellStyle name="Accent2" xfId="5" builtinId="33" customBuiltin="1"/>
    <cellStyle name="Accent2 - 20%" xfId="6" xr:uid="{00000000-0005-0000-0000-000005000000}"/>
    <cellStyle name="Accent2 - 40%" xfId="7" xr:uid="{00000000-0005-0000-0000-000006000000}"/>
    <cellStyle name="Accent2 - 60%" xfId="8" xr:uid="{00000000-0005-0000-0000-000007000000}"/>
    <cellStyle name="Accent3" xfId="9" builtinId="37" customBuiltin="1"/>
    <cellStyle name="Accent3 - 20%" xfId="10" xr:uid="{00000000-0005-0000-0000-000009000000}"/>
    <cellStyle name="Accent3 - 40%" xfId="11" xr:uid="{00000000-0005-0000-0000-00000A000000}"/>
    <cellStyle name="Accent3 - 60%" xfId="12" xr:uid="{00000000-0005-0000-0000-00000B000000}"/>
    <cellStyle name="Accent4" xfId="13" builtinId="41" customBuiltin="1"/>
    <cellStyle name="Accent4 - 20%" xfId="14" xr:uid="{00000000-0005-0000-0000-00000D000000}"/>
    <cellStyle name="Accent4 - 40%" xfId="15" xr:uid="{00000000-0005-0000-0000-00000E000000}"/>
    <cellStyle name="Accent4 - 60%" xfId="16" xr:uid="{00000000-0005-0000-0000-00000F000000}"/>
    <cellStyle name="Accent5" xfId="17" builtinId="45" customBuiltin="1"/>
    <cellStyle name="Accent5 - 20%" xfId="18" xr:uid="{00000000-0005-0000-0000-000011000000}"/>
    <cellStyle name="Accent5 - 40%" xfId="19" xr:uid="{00000000-0005-0000-0000-000012000000}"/>
    <cellStyle name="Accent5 - 60%" xfId="20" xr:uid="{00000000-0005-0000-0000-000013000000}"/>
    <cellStyle name="Accent6" xfId="21" builtinId="49" customBuiltin="1"/>
    <cellStyle name="Accent6 - 20%" xfId="22" xr:uid="{00000000-0005-0000-0000-000015000000}"/>
    <cellStyle name="Accent6 - 40%" xfId="23" xr:uid="{00000000-0005-0000-0000-000016000000}"/>
    <cellStyle name="Accent6 - 60%" xfId="24" xr:uid="{00000000-0005-0000-0000-000017000000}"/>
    <cellStyle name="Bad" xfId="25" builtinId="27" customBuiltin="1"/>
    <cellStyle name="Calculation" xfId="26" builtinId="22" customBuiltin="1"/>
    <cellStyle name="Check Cell" xfId="27" builtinId="23" customBuiltin="1"/>
    <cellStyle name="Emphasis 1" xfId="28" xr:uid="{00000000-0005-0000-0000-00001B000000}"/>
    <cellStyle name="Emphasis 2" xfId="29" xr:uid="{00000000-0005-0000-0000-00001C000000}"/>
    <cellStyle name="Emphasis 3" xfId="30" xr:uid="{00000000-0005-0000-0000-00001D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Sheet Title" xfId="41" xr:uid="{00000000-0005-0000-0000-000029000000}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110" zoomScaleNormal="110" workbookViewId="0">
      <selection activeCell="E2" sqref="E2"/>
    </sheetView>
  </sheetViews>
  <sheetFormatPr baseColWidth="10" defaultColWidth="8.83203125" defaultRowHeight="13" x14ac:dyDescent="0.15"/>
  <cols>
    <col min="1" max="1" width="19.33203125" customWidth="1"/>
    <col min="2" max="2" width="15.5" bestFit="1" customWidth="1"/>
    <col min="3" max="3" width="20.5" customWidth="1"/>
    <col min="4" max="4" width="11.83203125" bestFit="1" customWidth="1"/>
    <col min="5" max="5" width="15" customWidth="1"/>
    <col min="6" max="6" width="18" bestFit="1" customWidth="1"/>
  </cols>
  <sheetData>
    <row r="1" spans="1:6" x14ac:dyDescent="0.15">
      <c r="A1" s="1" t="s">
        <v>3</v>
      </c>
      <c r="B1">
        <v>14</v>
      </c>
      <c r="E1" s="1" t="s">
        <v>2</v>
      </c>
      <c r="F1" s="2" t="s">
        <v>7</v>
      </c>
    </row>
    <row r="2" spans="1:6" x14ac:dyDescent="0.15">
      <c r="A2" s="1" t="s">
        <v>1</v>
      </c>
      <c r="B2">
        <v>0.1</v>
      </c>
      <c r="E2">
        <f>MATCH(0,C5:C20,1)</f>
        <v>6</v>
      </c>
      <c r="F2" s="3" t="str">
        <f ca="1">_xlfn.FORMULATEXT(E2)</f>
        <v>=MATCH(0,C5:C20,1)</v>
      </c>
    </row>
    <row r="3" spans="1:6" x14ac:dyDescent="0.15">
      <c r="A3" s="1" t="s">
        <v>6</v>
      </c>
      <c r="B3">
        <v>-100</v>
      </c>
    </row>
    <row r="4" spans="1:6" x14ac:dyDescent="0.15">
      <c r="A4" s="1" t="s">
        <v>0</v>
      </c>
      <c r="B4" s="1" t="s">
        <v>5</v>
      </c>
      <c r="C4" s="1" t="s">
        <v>4</v>
      </c>
      <c r="D4" s="2" t="s">
        <v>7</v>
      </c>
    </row>
    <row r="5" spans="1:6" x14ac:dyDescent="0.15">
      <c r="A5">
        <v>0</v>
      </c>
      <c r="B5">
        <v>-100</v>
      </c>
      <c r="C5">
        <f>B5</f>
        <v>-100</v>
      </c>
      <c r="D5" s="3" t="str">
        <f ca="1">_xlfn.FORMULATEXT(C5)</f>
        <v>=B5</v>
      </c>
    </row>
    <row r="6" spans="1:6" x14ac:dyDescent="0.15">
      <c r="A6">
        <v>1</v>
      </c>
      <c r="B6">
        <f>Year_1_cf</f>
        <v>14</v>
      </c>
      <c r="C6">
        <f>C5+B6</f>
        <v>-86</v>
      </c>
      <c r="D6" s="3" t="str">
        <f t="shared" ref="D6:D20" ca="1" si="0">_xlfn.FORMULATEXT(C6)</f>
        <v>=C5+B6</v>
      </c>
    </row>
    <row r="7" spans="1:6" x14ac:dyDescent="0.15">
      <c r="A7">
        <v>2</v>
      </c>
      <c r="B7">
        <f t="shared" ref="B7:B20" si="1">B6*(1+Growth)</f>
        <v>15.400000000000002</v>
      </c>
      <c r="C7">
        <f t="shared" ref="C7:C20" si="2">C6+B7</f>
        <v>-70.599999999999994</v>
      </c>
      <c r="D7" s="3" t="str">
        <f t="shared" ca="1" si="0"/>
        <v>=C6+B7</v>
      </c>
    </row>
    <row r="8" spans="1:6" x14ac:dyDescent="0.15">
      <c r="A8">
        <v>3</v>
      </c>
      <c r="B8">
        <f t="shared" si="1"/>
        <v>16.940000000000005</v>
      </c>
      <c r="C8">
        <f t="shared" si="2"/>
        <v>-53.659999999999989</v>
      </c>
      <c r="D8" s="3" t="str">
        <f t="shared" ca="1" si="0"/>
        <v>=C7+B8</v>
      </c>
    </row>
    <row r="9" spans="1:6" x14ac:dyDescent="0.15">
      <c r="A9">
        <v>4</v>
      </c>
      <c r="B9">
        <f t="shared" si="1"/>
        <v>18.634000000000007</v>
      </c>
      <c r="C9">
        <f t="shared" si="2"/>
        <v>-35.025999999999982</v>
      </c>
      <c r="D9" s="3" t="str">
        <f t="shared" ca="1" si="0"/>
        <v>=C8+B9</v>
      </c>
    </row>
    <row r="10" spans="1:6" x14ac:dyDescent="0.15">
      <c r="A10">
        <v>5</v>
      </c>
      <c r="B10">
        <f t="shared" si="1"/>
        <v>20.49740000000001</v>
      </c>
      <c r="C10">
        <f t="shared" si="2"/>
        <v>-14.528599999999972</v>
      </c>
      <c r="D10" s="3" t="str">
        <f t="shared" ca="1" si="0"/>
        <v>=C9+B10</v>
      </c>
    </row>
    <row r="11" spans="1:6" x14ac:dyDescent="0.15">
      <c r="A11">
        <v>6</v>
      </c>
      <c r="B11">
        <f t="shared" si="1"/>
        <v>22.547140000000013</v>
      </c>
      <c r="C11">
        <f t="shared" si="2"/>
        <v>8.0185400000000406</v>
      </c>
      <c r="D11" s="3" t="str">
        <f t="shared" ca="1" si="0"/>
        <v>=C10+B11</v>
      </c>
    </row>
    <row r="12" spans="1:6" x14ac:dyDescent="0.15">
      <c r="A12">
        <v>7</v>
      </c>
      <c r="B12">
        <f t="shared" si="1"/>
        <v>24.801854000000016</v>
      </c>
      <c r="C12">
        <f t="shared" si="2"/>
        <v>32.820394000000057</v>
      </c>
      <c r="D12" s="3" t="str">
        <f t="shared" ca="1" si="0"/>
        <v>=C11+B12</v>
      </c>
    </row>
    <row r="13" spans="1:6" x14ac:dyDescent="0.15">
      <c r="A13">
        <v>8</v>
      </c>
      <c r="B13">
        <f t="shared" si="1"/>
        <v>27.28203940000002</v>
      </c>
      <c r="C13">
        <f t="shared" si="2"/>
        <v>60.102433400000081</v>
      </c>
      <c r="D13" s="3" t="str">
        <f t="shared" ca="1" si="0"/>
        <v>=C12+B13</v>
      </c>
    </row>
    <row r="14" spans="1:6" x14ac:dyDescent="0.15">
      <c r="A14">
        <v>9</v>
      </c>
      <c r="B14">
        <f t="shared" si="1"/>
        <v>30.010243340000024</v>
      </c>
      <c r="C14">
        <f t="shared" si="2"/>
        <v>90.112676740000097</v>
      </c>
      <c r="D14" s="3" t="str">
        <f t="shared" ca="1" si="0"/>
        <v>=C13+B14</v>
      </c>
    </row>
    <row r="15" spans="1:6" x14ac:dyDescent="0.15">
      <c r="A15">
        <v>10</v>
      </c>
      <c r="B15">
        <f t="shared" si="1"/>
        <v>33.011267674000031</v>
      </c>
      <c r="C15">
        <f t="shared" si="2"/>
        <v>123.12394441400014</v>
      </c>
      <c r="D15" s="3" t="str">
        <f t="shared" ca="1" si="0"/>
        <v>=C14+B15</v>
      </c>
    </row>
    <row r="16" spans="1:6" x14ac:dyDescent="0.15">
      <c r="A16">
        <v>11</v>
      </c>
      <c r="B16">
        <f t="shared" si="1"/>
        <v>36.312394441400038</v>
      </c>
      <c r="C16">
        <f t="shared" si="2"/>
        <v>159.43633885540018</v>
      </c>
      <c r="D16" s="3" t="str">
        <f t="shared" ca="1" si="0"/>
        <v>=C15+B16</v>
      </c>
    </row>
    <row r="17" spans="1:4" x14ac:dyDescent="0.15">
      <c r="A17">
        <v>12</v>
      </c>
      <c r="B17">
        <f t="shared" si="1"/>
        <v>39.943633885540045</v>
      </c>
      <c r="C17">
        <f t="shared" si="2"/>
        <v>199.37997274094022</v>
      </c>
      <c r="D17" s="3" t="str">
        <f t="shared" ca="1" si="0"/>
        <v>=C16+B17</v>
      </c>
    </row>
    <row r="18" spans="1:4" x14ac:dyDescent="0.15">
      <c r="A18">
        <v>13</v>
      </c>
      <c r="B18">
        <f t="shared" si="1"/>
        <v>43.937997274094052</v>
      </c>
      <c r="C18">
        <f t="shared" si="2"/>
        <v>243.31797001503426</v>
      </c>
      <c r="D18" s="3" t="str">
        <f t="shared" ca="1" si="0"/>
        <v>=C17+B18</v>
      </c>
    </row>
    <row r="19" spans="1:4" x14ac:dyDescent="0.15">
      <c r="A19">
        <v>14</v>
      </c>
      <c r="B19">
        <f t="shared" si="1"/>
        <v>48.33179700150346</v>
      </c>
      <c r="C19">
        <f t="shared" si="2"/>
        <v>291.64976701653774</v>
      </c>
      <c r="D19" s="3" t="str">
        <f t="shared" ca="1" si="0"/>
        <v>=C18+B19</v>
      </c>
    </row>
    <row r="20" spans="1:4" x14ac:dyDescent="0.15">
      <c r="A20">
        <v>15</v>
      </c>
      <c r="B20">
        <f t="shared" si="1"/>
        <v>53.164976701653814</v>
      </c>
      <c r="C20">
        <f t="shared" si="2"/>
        <v>344.81474371819155</v>
      </c>
      <c r="D20" s="3" t="str">
        <f t="shared" ca="1" si="0"/>
        <v>=C19+B20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6DD3725E-ACA0-4B13-8C41-A7C2863671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BAF224-6192-4AE7-9E0D-5093E2F811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02C9A2CC-D44F-40F1-BA6F-4A096455B859}">
  <ds:schemaRefs>
    <ds:schemaRef ds:uri="http://schemas.microsoft.com/office/2006/metadata/properties"/>
    <ds:schemaRef ds:uri="d1607db4-bd3f-4f82-a312-bf7e283d0a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Growth</vt:lpstr>
      <vt:lpstr>Initial_investment</vt:lpstr>
      <vt:lpstr>Year_1_cf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2006-12-20T15:15:47Z</dcterms:created>
  <dcterms:modified xsi:type="dcterms:W3CDTF">2026-09-24T20:45:12Z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