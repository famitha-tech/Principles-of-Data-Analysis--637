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2019\ch3\Practice Files\"/>
    </mc:Choice>
  </mc:AlternateContent>
  <xr:revisionPtr revIDLastSave="0" documentId="13_ncr:1_{32FBAD48-0E0B-4381-BC3A-90D73D8B2302}" xr6:coauthVersionLast="47" xr6:coauthVersionMax="47" xr10:uidLastSave="{00000000-0000-0000-0000-000000000000}"/>
  <bookViews>
    <workbookView xWindow="-104" yWindow="-104" windowWidth="22326" windowHeight="12050" xr2:uid="{D95E32D4-162A-4003-8E5A-DA3D64CBB491}"/>
  </bookViews>
  <sheets>
    <sheet name="Approximate Lookup" sheetId="1" r:id="rId1"/>
  </sheets>
  <externalReferences>
    <externalReference r:id="rId2"/>
    <externalReference r:id="rId3"/>
    <externalReference r:id="rId4"/>
    <externalReference r:id="rId5"/>
  </externalReferences>
  <definedNames>
    <definedName name="_Regression_Int">1</definedName>
    <definedName name="AH">'[1]LABOR VAR'!$C$2</definedName>
    <definedName name="AP">'[1]Revenue Variance'!$G$5</definedName>
    <definedName name="AQ">'[1]MAT VAR'!$C$2</definedName>
    <definedName name="AV">'[1]Revenue Variance'!$G$4</definedName>
    <definedName name="AW">'[1]LABOR VAR'!$C$4</definedName>
    <definedName name="base">[1]Budget!$K$1</definedName>
    <definedName name="BP">'[1]Revenue Variance'!$G$7</definedName>
    <definedName name="break">#REF!</definedName>
    <definedName name="BV">'[1]Revenue Variance'!$G$6</definedName>
    <definedName name="CAoverSales">[2]PRO_FORMA!$B$4</definedName>
    <definedName name="Cash_Interest">[3]Cash!$B$7</definedName>
    <definedName name="CIQWBGuid" hidden="1">"d5c96f1c-0b8a-4f1d-9499-e87469d8b72c"</definedName>
    <definedName name="Cloversales">[2]PRO_FORMA!$B$5</definedName>
    <definedName name="COGSoversales">[2]PRO_FORMA!$B$6</definedName>
    <definedName name="Costs">[1]Regression!$D$3:$D$14</definedName>
    <definedName name="Depreciation_Rate">[3]Depreciation!$B$10</definedName>
    <definedName name="Dividendrate">[2]PRO_FORMA!$B$8</definedName>
    <definedName name="FAoverSales">[2]PRO_FORMA!$B$3</definedName>
    <definedName name="Fixed_costs">[4]Breakeven!$B$1</definedName>
    <definedName name="highcost">#REF!</definedName>
    <definedName name="Initial_Sales">[2]PRO_FORMA!$B$2</definedName>
    <definedName name="intercept">#REF!</definedName>
    <definedName name="Interest">[2]PRO_FORMA!$B$7</definedName>
    <definedName name="intrate">[1]Budget!$I$80</definedName>
    <definedName name="IQ_ADDIN" hidden="1">"AUTO"</definedName>
    <definedName name="IQ_CH">110000</definedName>
    <definedName name="IQ_CONV_RATE" hidden="1">"c2192"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43637.646724537</definedName>
    <definedName name="IQ_NTM">6000</definedName>
    <definedName name="IQ_OG_TOTAL_OIL_PRODUCTON" hidden="1">"c2059"</definedName>
    <definedName name="IQ_QTD" hidden="1">750000</definedName>
    <definedName name="IQ_SHAREOUTSTANDING" hidden="1">"c1347"</definedName>
    <definedName name="IQ_TODAY" hidden="1">0</definedName>
    <definedName name="IQ_WEEK">50000</definedName>
    <definedName name="IQ_YTD">3000</definedName>
    <definedName name="IQ_YTDMONTH" hidden="1">130000</definedName>
    <definedName name="LOOKUP">'[2]Team Performance'!$B$3:$I$14</definedName>
    <definedName name="LOOKUP2">'[2]Team Performance'!$C$3:$I$14</definedName>
    <definedName name="lowcost">#REF!</definedName>
    <definedName name="Materialsafety">[1]Budget!$I$24</definedName>
    <definedName name="mincash">[1]Budget!$I$79</definedName>
    <definedName name="months">[2]Shiller!$H$2</definedName>
    <definedName name="MRBAR">#REF!</definedName>
    <definedName name="paidcurrent">[1]Budget!$I$36</definedName>
    <definedName name="price">[4]Breakeven!$B$3</definedName>
    <definedName name="Prior">'[1]Learning Curve'!$G$18</definedName>
    <definedName name="safetypct">[1]Budget!$J$15</definedName>
    <definedName name="Sales_Growth">[2]PRO_FORMA!$B$1</definedName>
    <definedName name="SH">'[1]LABOR VAR'!$C$3</definedName>
    <definedName name="SP">'[1]MAT VAR'!$C$5</definedName>
    <definedName name="spent">[2]Shiller!$H$1</definedName>
    <definedName name="SPWS_WBID">"D59E1A16-371E-4D0F-A93D-481B765CD67C"</definedName>
    <definedName name="SQ">'[1]MAT VAR'!$C$3</definedName>
    <definedName name="sup_cost">[4]Breakeven!$B$5</definedName>
    <definedName name="SW">'[1]LABOR VAR'!$C$5</definedName>
    <definedName name="Taxrate">[2]PRO_FORMA!$B$9</definedName>
    <definedName name="Trend">[1]Budget!$I$1</definedName>
    <definedName name="unit_cost">[4]Breakeven!$B$2</definedName>
    <definedName name="Volume">[1]Regression!$C$3:$C$14</definedName>
    <definedName name="volumechange">'[1]Flexible '!$G$1</definedName>
    <definedName name="XBAR">#REF!</definedName>
    <definedName name="YEARS">[2]Shiller!$H$3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3" i="1" l="1"/>
  <c r="H13" i="1"/>
  <c r="I12" i="1"/>
  <c r="H12" i="1"/>
  <c r="I11" i="1"/>
  <c r="H11" i="1"/>
  <c r="I10" i="1"/>
  <c r="H10" i="1"/>
</calcChain>
</file>

<file path=xl/sharedStrings.xml><?xml version="1.0" encoding="utf-8"?>
<sst xmlns="http://schemas.openxmlformats.org/spreadsheetml/2006/main" count="32" uniqueCount="26">
  <si>
    <t>Last</t>
  </si>
  <si>
    <t>First</t>
  </si>
  <si>
    <t>ID</t>
  </si>
  <si>
    <t>Salary</t>
  </si>
  <si>
    <t>Harden</t>
  </si>
  <si>
    <t>James</t>
  </si>
  <si>
    <t>Person</t>
  </si>
  <si>
    <t>Pauly</t>
  </si>
  <si>
    <t>Chris</t>
  </si>
  <si>
    <t>Paul</t>
  </si>
  <si>
    <t>Nets Durant</t>
  </si>
  <si>
    <t>Kevin</t>
  </si>
  <si>
    <t>James Lakers</t>
  </si>
  <si>
    <t>LeBron</t>
  </si>
  <si>
    <t>Durant</t>
  </si>
  <si>
    <t>Curry</t>
  </si>
  <si>
    <t>Steph</t>
  </si>
  <si>
    <t>Seth</t>
  </si>
  <si>
    <t>Swift</t>
  </si>
  <si>
    <t>Taylor</t>
  </si>
  <si>
    <t>Foster</t>
  </si>
  <si>
    <t>Sutton</t>
  </si>
  <si>
    <t>Duff</t>
  </si>
  <si>
    <t>Hilary</t>
  </si>
  <si>
    <t>Spears</t>
  </si>
  <si>
    <t>Britney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</si>
</sst>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2" fillId="0" borderId="0" xfId="2"/>
    <xf numFmtId="164" fontId="0" fillId="0" borderId="0" xfId="0" applyNumberFormat="1"/>
    <xf numFmtId="164" fontId="2" fillId="0" borderId="0" xfId="2" applyNumberFormat="1"/>
  </cellXfs>
  <cellStyles count="3">
    <cellStyle name="Currency" xfId="1" builtinId="4"/>
    <cellStyle name="Heading 4" xfId="2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st/Documents/budgetbecker/beckerbudgetingtake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wnloads/HARDPROBLEM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st/Documents/proformas/Proforma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st/Documents/ASU/cost%20fun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PRO_FORMA"/>
      <sheetName val="Annual Inputs"/>
      <sheetName val="Budget"/>
      <sheetName val="Sim1"/>
      <sheetName val="Sim2"/>
      <sheetName val="Sim3"/>
      <sheetName val="No Bias"/>
      <sheetName val="Bias"/>
      <sheetName val="Salespeople"/>
      <sheetName val="High Low"/>
      <sheetName val="Regression"/>
      <sheetName val="Learning Curve"/>
      <sheetName val="Flexible "/>
      <sheetName val="MAT VAR"/>
      <sheetName val="LABOR VAR"/>
      <sheetName val="Revenue Variance"/>
      <sheetName val="Waterfall"/>
      <sheetName val="SPC"/>
      <sheetName val="Control Chart"/>
    </sheetNames>
    <sheetDataSet>
      <sheetData sheetId="0" refreshError="1"/>
      <sheetData sheetId="1" refreshError="1"/>
      <sheetData sheetId="2" refreshError="1"/>
      <sheetData sheetId="3">
        <row r="1">
          <cell r="I1">
            <v>0</v>
          </cell>
          <cell r="K1">
            <v>800</v>
          </cell>
        </row>
        <row r="15">
          <cell r="J15">
            <v>0.1</v>
          </cell>
        </row>
        <row r="24">
          <cell r="I24">
            <v>0.1</v>
          </cell>
        </row>
        <row r="36">
          <cell r="I36">
            <v>0.6</v>
          </cell>
        </row>
        <row r="79">
          <cell r="I79">
            <v>5000</v>
          </cell>
        </row>
        <row r="80">
          <cell r="I80">
            <v>2.5000000000000001E-2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C3">
            <v>1000</v>
          </cell>
          <cell r="D3">
            <v>70000</v>
          </cell>
        </row>
        <row r="4">
          <cell r="C4">
            <v>1075</v>
          </cell>
          <cell r="D4">
            <v>73000</v>
          </cell>
        </row>
        <row r="5">
          <cell r="C5">
            <v>1100</v>
          </cell>
          <cell r="D5">
            <v>73000</v>
          </cell>
        </row>
        <row r="6">
          <cell r="C6">
            <v>1150</v>
          </cell>
          <cell r="D6">
            <v>74000</v>
          </cell>
        </row>
        <row r="7">
          <cell r="C7">
            <v>1200</v>
          </cell>
          <cell r="D7">
            <v>76000</v>
          </cell>
        </row>
        <row r="8">
          <cell r="C8">
            <v>1250</v>
          </cell>
          <cell r="D8">
            <v>78000</v>
          </cell>
        </row>
        <row r="9">
          <cell r="C9">
            <v>1240</v>
          </cell>
          <cell r="D9">
            <v>76250</v>
          </cell>
        </row>
        <row r="10">
          <cell r="C10">
            <v>1260</v>
          </cell>
          <cell r="D10">
            <v>77500</v>
          </cell>
        </row>
        <row r="11">
          <cell r="C11">
            <v>1235</v>
          </cell>
          <cell r="D11">
            <v>75500</v>
          </cell>
        </row>
        <row r="12">
          <cell r="C12">
            <v>1275</v>
          </cell>
          <cell r="D12">
            <v>76800</v>
          </cell>
        </row>
        <row r="13">
          <cell r="C13">
            <v>1300</v>
          </cell>
          <cell r="D13">
            <v>80500</v>
          </cell>
        </row>
        <row r="14">
          <cell r="C14">
            <v>1280</v>
          </cell>
          <cell r="D14">
            <v>79000</v>
          </cell>
        </row>
      </sheetData>
      <sheetData sheetId="12">
        <row r="18">
          <cell r="G18">
            <v>100</v>
          </cell>
        </row>
      </sheetData>
      <sheetData sheetId="13">
        <row r="1">
          <cell r="G1">
            <v>1.1000000000000001</v>
          </cell>
        </row>
      </sheetData>
      <sheetData sheetId="14">
        <row r="2">
          <cell r="C2">
            <v>24000</v>
          </cell>
        </row>
        <row r="3">
          <cell r="C3">
            <v>22000</v>
          </cell>
        </row>
        <row r="5">
          <cell r="C5">
            <v>5</v>
          </cell>
        </row>
      </sheetData>
      <sheetData sheetId="15">
        <row r="2">
          <cell r="C2">
            <v>2800</v>
          </cell>
        </row>
        <row r="3">
          <cell r="C3">
            <v>2750</v>
          </cell>
        </row>
        <row r="4">
          <cell r="C4">
            <v>25</v>
          </cell>
        </row>
        <row r="5">
          <cell r="C5">
            <v>24</v>
          </cell>
        </row>
      </sheetData>
      <sheetData sheetId="16">
        <row r="4">
          <cell r="G4">
            <v>11000</v>
          </cell>
        </row>
        <row r="5">
          <cell r="G5">
            <v>38.5</v>
          </cell>
        </row>
        <row r="6">
          <cell r="G6">
            <v>10000</v>
          </cell>
        </row>
        <row r="7">
          <cell r="G7">
            <v>40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Online"/>
      <sheetName val="Mobile"/>
      <sheetName val="Combined"/>
      <sheetName val="XLOOKUP"/>
      <sheetName val="Cost centers"/>
      <sheetName val="third digit"/>
      <sheetName val="FuzzyLookup_AddIn_Undo_Sheet"/>
      <sheetName val="Making sure two digits"/>
      <sheetName val="Approximate Matches"/>
      <sheetName val="between asterisks"/>
      <sheetName val="flash fill"/>
      <sheetName val="Shiller"/>
      <sheetName val="Cost Accounts"/>
      <sheetName val="Cash or Credit"/>
      <sheetName val="Team Performance"/>
      <sheetName val="PRO_FORMA"/>
      <sheetName val="Next 30 day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H1">
            <v>1000</v>
          </cell>
        </row>
        <row r="2">
          <cell r="H2">
            <v>120</v>
          </cell>
        </row>
        <row r="3">
          <cell r="H3">
            <v>20</v>
          </cell>
        </row>
      </sheetData>
      <sheetData sheetId="13"/>
      <sheetData sheetId="14"/>
      <sheetData sheetId="15">
        <row r="3">
          <cell r="B3" t="str">
            <v>A</v>
          </cell>
          <cell r="C3" t="str">
            <v>TRAYCE</v>
          </cell>
          <cell r="D3">
            <v>9</v>
          </cell>
          <cell r="E3">
            <v>2</v>
          </cell>
          <cell r="F3">
            <v>4</v>
          </cell>
          <cell r="G3">
            <v>6</v>
          </cell>
          <cell r="H3">
            <v>10</v>
          </cell>
          <cell r="I3">
            <v>4</v>
          </cell>
        </row>
        <row r="4">
          <cell r="B4" t="str">
            <v>B</v>
          </cell>
          <cell r="C4" t="str">
            <v>RACE</v>
          </cell>
          <cell r="D4">
            <v>8</v>
          </cell>
          <cell r="E4">
            <v>4</v>
          </cell>
          <cell r="F4">
            <v>5</v>
          </cell>
          <cell r="G4">
            <v>8</v>
          </cell>
          <cell r="H4">
            <v>8</v>
          </cell>
          <cell r="I4">
            <v>3</v>
          </cell>
        </row>
        <row r="5">
          <cell r="B5" t="str">
            <v>C</v>
          </cell>
          <cell r="C5" t="str">
            <v>BATES</v>
          </cell>
          <cell r="D5">
            <v>4</v>
          </cell>
          <cell r="E5">
            <v>7</v>
          </cell>
          <cell r="F5">
            <v>7</v>
          </cell>
          <cell r="G5">
            <v>5</v>
          </cell>
          <cell r="H5">
            <v>4</v>
          </cell>
          <cell r="I5">
            <v>9</v>
          </cell>
        </row>
        <row r="6">
          <cell r="B6" t="str">
            <v>D</v>
          </cell>
          <cell r="C6" t="str">
            <v>GERONIMO</v>
          </cell>
          <cell r="D6">
            <v>8</v>
          </cell>
          <cell r="E6">
            <v>5</v>
          </cell>
          <cell r="F6">
            <v>6</v>
          </cell>
          <cell r="G6">
            <v>7</v>
          </cell>
          <cell r="H6">
            <v>7</v>
          </cell>
          <cell r="I6">
            <v>3</v>
          </cell>
        </row>
        <row r="7">
          <cell r="B7" t="str">
            <v>E</v>
          </cell>
          <cell r="C7" t="str">
            <v>LANDER</v>
          </cell>
          <cell r="D7">
            <v>3</v>
          </cell>
          <cell r="E7">
            <v>10</v>
          </cell>
          <cell r="F7">
            <v>6</v>
          </cell>
          <cell r="G7">
            <v>3</v>
          </cell>
          <cell r="H7">
            <v>3</v>
          </cell>
          <cell r="I7">
            <v>6</v>
          </cell>
        </row>
        <row r="8">
          <cell r="B8" t="str">
            <v>F</v>
          </cell>
          <cell r="C8" t="str">
            <v>LEALE</v>
          </cell>
          <cell r="D8">
            <v>3</v>
          </cell>
          <cell r="E8">
            <v>7</v>
          </cell>
          <cell r="F8">
            <v>8</v>
          </cell>
          <cell r="G8">
            <v>3</v>
          </cell>
          <cell r="H8">
            <v>2</v>
          </cell>
          <cell r="I8">
            <v>9</v>
          </cell>
        </row>
        <row r="9">
          <cell r="B9" t="str">
            <v>G</v>
          </cell>
          <cell r="C9" t="str">
            <v>GALLOWAY</v>
          </cell>
          <cell r="D9">
            <v>4</v>
          </cell>
          <cell r="E9">
            <v>4</v>
          </cell>
          <cell r="F9">
            <v>6</v>
          </cell>
          <cell r="G9">
            <v>4</v>
          </cell>
          <cell r="H9">
            <v>5</v>
          </cell>
          <cell r="I9">
            <v>4</v>
          </cell>
        </row>
        <row r="10">
          <cell r="B10" t="str">
            <v>H</v>
          </cell>
          <cell r="C10" t="str">
            <v>ROB</v>
          </cell>
          <cell r="D10">
            <v>4</v>
          </cell>
          <cell r="E10">
            <v>7</v>
          </cell>
          <cell r="F10">
            <v>7</v>
          </cell>
          <cell r="G10">
            <v>6</v>
          </cell>
          <cell r="H10">
            <v>6</v>
          </cell>
          <cell r="I10">
            <v>5</v>
          </cell>
        </row>
        <row r="11">
          <cell r="B11" t="str">
            <v>I</v>
          </cell>
          <cell r="C11" t="str">
            <v>KOPP</v>
          </cell>
          <cell r="D11">
            <v>5</v>
          </cell>
          <cell r="E11">
            <v>3</v>
          </cell>
          <cell r="F11">
            <v>4</v>
          </cell>
          <cell r="G11">
            <v>4</v>
          </cell>
          <cell r="H11">
            <v>3</v>
          </cell>
          <cell r="I11">
            <v>8</v>
          </cell>
        </row>
        <row r="12">
          <cell r="B12" t="str">
            <v>J</v>
          </cell>
          <cell r="C12" t="str">
            <v>HUNTER</v>
          </cell>
          <cell r="D12">
            <v>5</v>
          </cell>
          <cell r="E12">
            <v>3</v>
          </cell>
          <cell r="F12">
            <v>5</v>
          </cell>
          <cell r="G12">
            <v>4</v>
          </cell>
          <cell r="H12">
            <v>5</v>
          </cell>
          <cell r="I12">
            <v>8</v>
          </cell>
        </row>
        <row r="13">
          <cell r="B13" t="str">
            <v>K</v>
          </cell>
          <cell r="C13" t="str">
            <v>XAVIER</v>
          </cell>
          <cell r="D13">
            <v>5</v>
          </cell>
          <cell r="E13">
            <v>9</v>
          </cell>
          <cell r="F13">
            <v>4</v>
          </cell>
          <cell r="G13">
            <v>7</v>
          </cell>
          <cell r="H13">
            <v>6</v>
          </cell>
          <cell r="I13">
            <v>7</v>
          </cell>
        </row>
        <row r="14">
          <cell r="B14" t="str">
            <v>L</v>
          </cell>
          <cell r="C14" t="str">
            <v>STEWART</v>
          </cell>
          <cell r="D14">
            <v>4</v>
          </cell>
          <cell r="E14">
            <v>7</v>
          </cell>
          <cell r="F14">
            <v>6</v>
          </cell>
          <cell r="G14">
            <v>5</v>
          </cell>
          <cell r="H14">
            <v>4</v>
          </cell>
          <cell r="I14">
            <v>10</v>
          </cell>
        </row>
      </sheetData>
      <sheetData sheetId="16">
        <row r="1">
          <cell r="B1">
            <v>7.0000000000000007E-2</v>
          </cell>
        </row>
        <row r="2">
          <cell r="B2">
            <v>1000</v>
          </cell>
        </row>
        <row r="3">
          <cell r="B3">
            <v>0.7</v>
          </cell>
        </row>
        <row r="4">
          <cell r="B4">
            <v>0.15</v>
          </cell>
        </row>
        <row r="5">
          <cell r="B5">
            <v>7.0000000000000007E-2</v>
          </cell>
        </row>
        <row r="6">
          <cell r="B6">
            <v>0.7</v>
          </cell>
        </row>
        <row r="7">
          <cell r="B7">
            <v>0.1</v>
          </cell>
        </row>
        <row r="8">
          <cell r="B8">
            <v>0.6</v>
          </cell>
        </row>
        <row r="9">
          <cell r="B9">
            <v>0.53</v>
          </cell>
        </row>
      </sheetData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"/>
      <sheetName val="Depreciation"/>
      <sheetName val="Cash"/>
      <sheetName val="More Debt"/>
      <sheetName val="COGS Varies"/>
    </sheetNames>
    <sheetDataSet>
      <sheetData sheetId="0"/>
      <sheetData sheetId="1">
        <row r="10">
          <cell r="B10">
            <v>0.05</v>
          </cell>
        </row>
      </sheetData>
      <sheetData sheetId="2">
        <row r="7">
          <cell r="B7">
            <v>0.09</v>
          </cell>
        </row>
      </sheetData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 Forecast"/>
      <sheetName val="Print Shop"/>
      <sheetName val="Learning Curve"/>
      <sheetName val="Piecewise"/>
      <sheetName val="Breakeven"/>
    </sheetNames>
    <sheetDataSet>
      <sheetData sheetId="0"/>
      <sheetData sheetId="1"/>
      <sheetData sheetId="2"/>
      <sheetData sheetId="3">
        <row r="3">
          <cell r="L3">
            <v>60</v>
          </cell>
        </row>
      </sheetData>
      <sheetData sheetId="4">
        <row r="1">
          <cell r="B1">
            <v>100000</v>
          </cell>
        </row>
        <row r="2">
          <cell r="B2">
            <v>0.8</v>
          </cell>
        </row>
        <row r="3">
          <cell r="B3">
            <v>1.8</v>
          </cell>
        </row>
        <row r="5">
          <cell r="B5">
            <v>30000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1100-7487-4F3D-AE58-74C4D5E6899F}">
  <dimension ref="B2:L35"/>
  <sheetViews>
    <sheetView tabSelected="1" topLeftCell="A7" workbookViewId="0">
      <selection activeCell="H11" sqref="H11"/>
    </sheetView>
  </sheetViews>
  <sheetFormatPr defaultRowHeight="14.4" x14ac:dyDescent="0.3"/>
  <cols>
    <col min="2" max="2" width="12" customWidth="1"/>
    <col min="5" max="5" width="11.09765625" bestFit="1" customWidth="1"/>
    <col min="7" max="7" width="20.796875" customWidth="1"/>
    <col min="8" max="8" width="31" customWidth="1"/>
    <col min="9" max="9" width="13.5" customWidth="1"/>
    <col min="10" max="10" width="13.59765625" customWidth="1"/>
  </cols>
  <sheetData>
    <row r="2" spans="2:9" x14ac:dyDescent="0.3">
      <c r="B2" t="s">
        <v>0</v>
      </c>
    </row>
    <row r="8" spans="2:9" x14ac:dyDescent="0.3">
      <c r="B8" t="s">
        <v>0</v>
      </c>
      <c r="C8" t="s">
        <v>1</v>
      </c>
      <c r="D8" t="s">
        <v>2</v>
      </c>
      <c r="E8" t="s">
        <v>3</v>
      </c>
    </row>
    <row r="9" spans="2:9" x14ac:dyDescent="0.3">
      <c r="B9" t="s">
        <v>4</v>
      </c>
      <c r="C9" t="s">
        <v>5</v>
      </c>
      <c r="D9">
        <v>101</v>
      </c>
      <c r="E9" s="1">
        <v>95436</v>
      </c>
      <c r="G9" t="s">
        <v>6</v>
      </c>
      <c r="H9" t="s">
        <v>2</v>
      </c>
      <c r="I9" t="s">
        <v>3</v>
      </c>
    </row>
    <row r="10" spans="2:9" x14ac:dyDescent="0.3">
      <c r="B10" t="s">
        <v>7</v>
      </c>
      <c r="C10" t="s">
        <v>8</v>
      </c>
      <c r="D10">
        <v>43</v>
      </c>
      <c r="E10" s="1">
        <v>91651</v>
      </c>
      <c r="G10" t="s">
        <v>9</v>
      </c>
      <c r="H10" t="e">
        <f>VLOOKUP(G3,B9:E18,3,FALSE)</f>
        <v>#N/A</v>
      </c>
      <c r="I10" t="e">
        <f>VLOOKUP(G3,B9:E18,4,FALSE)</f>
        <v>#N/A</v>
      </c>
    </row>
    <row r="11" spans="2:9" x14ac:dyDescent="0.3">
      <c r="B11" t="s">
        <v>10</v>
      </c>
      <c r="C11" t="s">
        <v>11</v>
      </c>
      <c r="D11">
        <v>126</v>
      </c>
      <c r="E11" s="1">
        <v>87999</v>
      </c>
      <c r="G11" t="s">
        <v>9</v>
      </c>
      <c r="H11">
        <f>VLOOKUP(G10&amp;"*",B9:E18,3,FALSE)</f>
        <v>43</v>
      </c>
      <c r="I11">
        <f>VLOOKUP(G10&amp;"*",B9:E18,4,FALSE)</f>
        <v>91651</v>
      </c>
    </row>
    <row r="12" spans="2:9" x14ac:dyDescent="0.3">
      <c r="B12" t="s">
        <v>12</v>
      </c>
      <c r="C12" t="s">
        <v>13</v>
      </c>
      <c r="D12">
        <v>44</v>
      </c>
      <c r="E12" s="1">
        <v>90811</v>
      </c>
      <c r="G12" t="s">
        <v>14</v>
      </c>
      <c r="H12">
        <f>VLOOKUP("*"&amp;G12&amp;"*",$B$9:$E$18,3,FALSE)</f>
        <v>126</v>
      </c>
      <c r="I12">
        <f>VLOOKUP("*"&amp;G12&amp;"*",$B$9:$E$18,4,FALSE)</f>
        <v>87999</v>
      </c>
    </row>
    <row r="13" spans="2:9" x14ac:dyDescent="0.3">
      <c r="B13" t="s">
        <v>15</v>
      </c>
      <c r="C13" t="s">
        <v>16</v>
      </c>
      <c r="D13">
        <v>179</v>
      </c>
      <c r="E13" s="1">
        <v>86573</v>
      </c>
      <c r="G13" t="s">
        <v>5</v>
      </c>
      <c r="H13">
        <f>VLOOKUP("*"&amp;G13&amp;"*",$B$9:$E$18,3,FALSE)</f>
        <v>44</v>
      </c>
      <c r="I13">
        <f>VLOOKUP("*"&amp;G13&amp;"*",$B$9:$E$18,4,FALSE)</f>
        <v>90811</v>
      </c>
    </row>
    <row r="14" spans="2:9" x14ac:dyDescent="0.3">
      <c r="B14" t="s">
        <v>15</v>
      </c>
      <c r="C14" t="s">
        <v>17</v>
      </c>
      <c r="D14">
        <v>130</v>
      </c>
      <c r="E14" s="1">
        <v>95497</v>
      </c>
    </row>
    <row r="15" spans="2:9" x14ac:dyDescent="0.3">
      <c r="B15" t="s">
        <v>18</v>
      </c>
      <c r="C15" t="s">
        <v>19</v>
      </c>
      <c r="D15">
        <v>121</v>
      </c>
      <c r="E15" s="1">
        <v>96313</v>
      </c>
    </row>
    <row r="16" spans="2:9" x14ac:dyDescent="0.3">
      <c r="B16" t="s">
        <v>20</v>
      </c>
      <c r="C16" t="s">
        <v>21</v>
      </c>
      <c r="D16">
        <v>126</v>
      </c>
      <c r="E16" s="1">
        <v>85967</v>
      </c>
    </row>
    <row r="17" spans="2:12" x14ac:dyDescent="0.3">
      <c r="B17" t="s">
        <v>22</v>
      </c>
      <c r="C17" t="s">
        <v>23</v>
      </c>
      <c r="D17">
        <v>158</v>
      </c>
      <c r="E17" s="1">
        <v>82767</v>
      </c>
    </row>
    <row r="18" spans="2:12" x14ac:dyDescent="0.3">
      <c r="B18" t="s">
        <v>24</v>
      </c>
      <c r="C18" t="s">
        <v>25</v>
      </c>
      <c r="D18">
        <v>62</v>
      </c>
      <c r="E18" s="1">
        <v>94138</v>
      </c>
    </row>
    <row r="23" spans="2:12" x14ac:dyDescent="0.3">
      <c r="C23" s="2"/>
      <c r="D23" s="2"/>
      <c r="E23" s="2"/>
      <c r="F23" s="2"/>
    </row>
    <row r="25" spans="2:12" x14ac:dyDescent="0.3">
      <c r="E25" s="2"/>
      <c r="F25" s="2"/>
      <c r="G25" s="2"/>
      <c r="H25" s="2"/>
    </row>
    <row r="26" spans="2:12" x14ac:dyDescent="0.3">
      <c r="H26" s="3"/>
    </row>
    <row r="27" spans="2:12" x14ac:dyDescent="0.3">
      <c r="H27" s="3"/>
    </row>
    <row r="28" spans="2:12" x14ac:dyDescent="0.3">
      <c r="H28" s="3"/>
    </row>
    <row r="29" spans="2:12" x14ac:dyDescent="0.3">
      <c r="H29" s="3"/>
    </row>
    <row r="30" spans="2:12" x14ac:dyDescent="0.3">
      <c r="H30" s="4"/>
      <c r="I30" s="2"/>
      <c r="J30" s="2"/>
      <c r="K30" s="2"/>
      <c r="L30" s="2"/>
    </row>
    <row r="31" spans="2:12" x14ac:dyDescent="0.3">
      <c r="L31" s="3"/>
    </row>
    <row r="32" spans="2:12" x14ac:dyDescent="0.3">
      <c r="L32" s="3"/>
    </row>
    <row r="33" spans="12:12" x14ac:dyDescent="0.3">
      <c r="L33" s="3"/>
    </row>
    <row r="34" spans="12:12" x14ac:dyDescent="0.3">
      <c r="L34" s="3"/>
    </row>
    <row r="35" spans="12:12" x14ac:dyDescent="0.3">
      <c r="L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Approximate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2021-04-23T22:06:29Z</dcterms:created>
  <dcterms:modified xsi:type="dcterms:W3CDTF">2021-06-10T21:48:35Z</dcterms:modified>
</cp:coreProperties>
</file>